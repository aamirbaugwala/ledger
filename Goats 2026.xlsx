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mir\OneDrive\Desktop\"/>
    </mc:Choice>
  </mc:AlternateContent>
  <xr:revisionPtr revIDLastSave="0" documentId="8_{7F9DFF6D-AE47-486C-9075-C5DDD8710396}" xr6:coauthVersionLast="47" xr6:coauthVersionMax="47" xr10:uidLastSave="{00000000-0000-0000-0000-000000000000}"/>
  <bookViews>
    <workbookView xWindow="-108" yWindow="-108" windowWidth="23256" windowHeight="12456" activeTab="7" xr2:uid="{806B983D-2A56-441A-A6B0-35246E9D5F33}"/>
  </bookViews>
  <sheets>
    <sheet name="Debtors List" sheetId="11" r:id="rId1"/>
    <sheet name="Sale Combined" sheetId="8" r:id="rId2"/>
    <sheet name="Lot 1 weight list" sheetId="1" r:id="rId3"/>
    <sheet name="Sheet10" sheetId="10" state="hidden" r:id="rId4"/>
    <sheet name="Lot 1 sale Seperate" sheetId="7" state="hidden" r:id="rId5"/>
    <sheet name="Sheet5" sheetId="5" state="hidden" r:id="rId6"/>
    <sheet name="HKB" sheetId="9" r:id="rId7"/>
    <sheet name="Sojat Weight list" sheetId="12" r:id="rId8"/>
    <sheet name="option1" sheetId="2" state="hidden" r:id="rId9"/>
  </sheets>
  <calcPr calcId="191029"/>
  <pivotCaches>
    <pivotCache cacheId="0" r:id="rId10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8" i="12" l="1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M4" i="12"/>
  <c r="M3" i="12"/>
  <c r="M2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H70" i="12"/>
  <c r="G70" i="12"/>
  <c r="F70" i="12"/>
  <c r="H68" i="12"/>
  <c r="G68" i="12"/>
  <c r="F68" i="12"/>
  <c r="G67" i="12"/>
  <c r="H67" i="12" s="1"/>
  <c r="F67" i="12"/>
  <c r="G66" i="12"/>
  <c r="H66" i="12" s="1"/>
  <c r="F66" i="12"/>
  <c r="G65" i="12"/>
  <c r="H65" i="12" s="1"/>
  <c r="F65" i="12"/>
  <c r="G64" i="12"/>
  <c r="H64" i="12" s="1"/>
  <c r="F64" i="12"/>
  <c r="H63" i="12"/>
  <c r="G63" i="12"/>
  <c r="F63" i="12"/>
  <c r="G62" i="12"/>
  <c r="H62" i="12" s="1"/>
  <c r="F62" i="12"/>
  <c r="H61" i="12"/>
  <c r="G61" i="12"/>
  <c r="F61" i="12"/>
  <c r="H60" i="12"/>
  <c r="G60" i="12"/>
  <c r="F60" i="12"/>
  <c r="G59" i="12"/>
  <c r="H59" i="12" s="1"/>
  <c r="F59" i="12"/>
  <c r="G58" i="12"/>
  <c r="H58" i="12" s="1"/>
  <c r="F58" i="12"/>
  <c r="H57" i="12"/>
  <c r="G57" i="12"/>
  <c r="F57" i="12"/>
  <c r="G56" i="12"/>
  <c r="H56" i="12" s="1"/>
  <c r="F56" i="12"/>
  <c r="H55" i="12"/>
  <c r="G55" i="12"/>
  <c r="F55" i="12"/>
  <c r="G54" i="12"/>
  <c r="H54" i="12" s="1"/>
  <c r="F54" i="12"/>
  <c r="H53" i="12"/>
  <c r="G53" i="12"/>
  <c r="F53" i="12"/>
  <c r="H52" i="12"/>
  <c r="G52" i="12"/>
  <c r="F52" i="12"/>
  <c r="G51" i="12"/>
  <c r="H51" i="12" s="1"/>
  <c r="F51" i="12"/>
  <c r="G50" i="12"/>
  <c r="H50" i="12" s="1"/>
  <c r="F50" i="12"/>
  <c r="H49" i="12"/>
  <c r="G49" i="12"/>
  <c r="F49" i="12"/>
  <c r="G48" i="12"/>
  <c r="H48" i="12" s="1"/>
  <c r="F48" i="12"/>
  <c r="H47" i="12"/>
  <c r="G47" i="12"/>
  <c r="F47" i="12"/>
  <c r="G46" i="12"/>
  <c r="H46" i="12" s="1"/>
  <c r="F46" i="12"/>
  <c r="H45" i="12"/>
  <c r="G45" i="12"/>
  <c r="F45" i="12"/>
  <c r="H44" i="12"/>
  <c r="G44" i="12"/>
  <c r="F44" i="12"/>
  <c r="G43" i="12"/>
  <c r="H43" i="12" s="1"/>
  <c r="F43" i="12"/>
  <c r="G42" i="12"/>
  <c r="H42" i="12" s="1"/>
  <c r="F42" i="12"/>
  <c r="H41" i="12"/>
  <c r="G41" i="12"/>
  <c r="F41" i="12"/>
  <c r="G40" i="12"/>
  <c r="H40" i="12" s="1"/>
  <c r="F40" i="12"/>
  <c r="H39" i="12"/>
  <c r="G39" i="12"/>
  <c r="F39" i="12"/>
  <c r="G38" i="12"/>
  <c r="H38" i="12" s="1"/>
  <c r="F38" i="12"/>
  <c r="H37" i="12"/>
  <c r="G37" i="12"/>
  <c r="F37" i="12"/>
  <c r="H36" i="12"/>
  <c r="G36" i="12"/>
  <c r="F36" i="12"/>
  <c r="G35" i="12"/>
  <c r="H35" i="12" s="1"/>
  <c r="F35" i="12"/>
  <c r="G34" i="12"/>
  <c r="H34" i="12" s="1"/>
  <c r="F34" i="12"/>
  <c r="H33" i="12"/>
  <c r="G33" i="12"/>
  <c r="F33" i="12"/>
  <c r="G32" i="12"/>
  <c r="H32" i="12" s="1"/>
  <c r="F32" i="12"/>
  <c r="H31" i="12"/>
  <c r="G31" i="12"/>
  <c r="F31" i="12"/>
  <c r="G30" i="12"/>
  <c r="H30" i="12" s="1"/>
  <c r="F30" i="12"/>
  <c r="H29" i="12"/>
  <c r="G29" i="12"/>
  <c r="F29" i="12"/>
  <c r="H28" i="12"/>
  <c r="G28" i="12"/>
  <c r="F28" i="12"/>
  <c r="G27" i="12"/>
  <c r="H27" i="12" s="1"/>
  <c r="F27" i="12"/>
  <c r="G26" i="12"/>
  <c r="H26" i="12" s="1"/>
  <c r="F26" i="12"/>
  <c r="H25" i="12"/>
  <c r="G25" i="12"/>
  <c r="F25" i="12"/>
  <c r="G24" i="12"/>
  <c r="H24" i="12" s="1"/>
  <c r="F24" i="12"/>
  <c r="H23" i="12"/>
  <c r="G23" i="12"/>
  <c r="F23" i="12"/>
  <c r="G22" i="12"/>
  <c r="H22" i="12" s="1"/>
  <c r="F22" i="12"/>
  <c r="H21" i="12"/>
  <c r="G21" i="12"/>
  <c r="F21" i="12"/>
  <c r="H20" i="12"/>
  <c r="G20" i="12"/>
  <c r="F20" i="12"/>
  <c r="G19" i="12"/>
  <c r="H19" i="12" s="1"/>
  <c r="F19" i="12"/>
  <c r="G18" i="12"/>
  <c r="H18" i="12" s="1"/>
  <c r="F18" i="12"/>
  <c r="G17" i="12"/>
  <c r="H17" i="12" s="1"/>
  <c r="F17" i="12"/>
  <c r="G16" i="12"/>
  <c r="H16" i="12" s="1"/>
  <c r="F16" i="12"/>
  <c r="H15" i="12"/>
  <c r="G15" i="12"/>
  <c r="F15" i="12"/>
  <c r="G14" i="12"/>
  <c r="H14" i="12" s="1"/>
  <c r="F14" i="12"/>
  <c r="H13" i="12"/>
  <c r="G13" i="12"/>
  <c r="F13" i="12"/>
  <c r="G12" i="12"/>
  <c r="H12" i="12" s="1"/>
  <c r="F12" i="12"/>
  <c r="G11" i="12"/>
  <c r="H11" i="12" s="1"/>
  <c r="F11" i="12"/>
  <c r="G10" i="12"/>
  <c r="H10" i="12" s="1"/>
  <c r="F10" i="12"/>
  <c r="H9" i="12"/>
  <c r="G9" i="12"/>
  <c r="F9" i="12"/>
  <c r="G8" i="12"/>
  <c r="H8" i="12" s="1"/>
  <c r="F8" i="12"/>
  <c r="H7" i="12"/>
  <c r="G7" i="12"/>
  <c r="F7" i="12"/>
  <c r="G6" i="12"/>
  <c r="H6" i="12" s="1"/>
  <c r="F6" i="12"/>
  <c r="H5" i="12"/>
  <c r="G5" i="12"/>
  <c r="F5" i="12"/>
  <c r="H4" i="12"/>
  <c r="G4" i="12"/>
  <c r="F4" i="12"/>
  <c r="G3" i="12"/>
  <c r="H3" i="12" s="1"/>
  <c r="F3" i="12"/>
  <c r="F2" i="12"/>
  <c r="K58" i="12"/>
  <c r="K45" i="12"/>
  <c r="K31" i="12"/>
  <c r="K19" i="12"/>
  <c r="K6" i="12"/>
  <c r="T6" i="12"/>
  <c r="K68" i="12" s="1"/>
  <c r="J63" i="12"/>
  <c r="J57" i="12"/>
  <c r="J50" i="12"/>
  <c r="J43" i="12"/>
  <c r="J38" i="12"/>
  <c r="J31" i="12"/>
  <c r="J25" i="12"/>
  <c r="J18" i="12"/>
  <c r="J11" i="12"/>
  <c r="J6" i="12"/>
  <c r="I63" i="12"/>
  <c r="I56" i="12"/>
  <c r="I49" i="12"/>
  <c r="I44" i="12"/>
  <c r="I37" i="12"/>
  <c r="I31" i="12"/>
  <c r="I24" i="12"/>
  <c r="I17" i="12"/>
  <c r="I12" i="12"/>
  <c r="I5" i="12"/>
  <c r="D68" i="12"/>
  <c r="O68" i="12" s="1"/>
  <c r="D67" i="12"/>
  <c r="O67" i="12" s="1"/>
  <c r="D66" i="12"/>
  <c r="O66" i="12" s="1"/>
  <c r="D65" i="12"/>
  <c r="O65" i="12" s="1"/>
  <c r="D64" i="12"/>
  <c r="D63" i="12"/>
  <c r="O63" i="12" s="1"/>
  <c r="D62" i="12"/>
  <c r="O62" i="12" s="1"/>
  <c r="D61" i="12"/>
  <c r="O61" i="12" s="1"/>
  <c r="D60" i="12"/>
  <c r="O60" i="12" s="1"/>
  <c r="D59" i="12"/>
  <c r="O59" i="12" s="1"/>
  <c r="D58" i="12"/>
  <c r="O58" i="12" s="1"/>
  <c r="D57" i="12"/>
  <c r="O57" i="12" s="1"/>
  <c r="D56" i="12"/>
  <c r="O56" i="12" s="1"/>
  <c r="D55" i="12"/>
  <c r="D54" i="12"/>
  <c r="O54" i="12" s="1"/>
  <c r="D53" i="12"/>
  <c r="O53" i="12" s="1"/>
  <c r="D52" i="12"/>
  <c r="O52" i="12" s="1"/>
  <c r="D51" i="12"/>
  <c r="O51" i="12" s="1"/>
  <c r="D50" i="12"/>
  <c r="O50" i="12" s="1"/>
  <c r="D49" i="12"/>
  <c r="O49" i="12" s="1"/>
  <c r="D48" i="12"/>
  <c r="O48" i="12" s="1"/>
  <c r="D47" i="12"/>
  <c r="O47" i="12" s="1"/>
  <c r="D46" i="12"/>
  <c r="O46" i="12" s="1"/>
  <c r="D45" i="12"/>
  <c r="O45" i="12" s="1"/>
  <c r="D44" i="12"/>
  <c r="O44" i="12" s="1"/>
  <c r="D43" i="12"/>
  <c r="O43" i="12" s="1"/>
  <c r="D42" i="12"/>
  <c r="O42" i="12" s="1"/>
  <c r="D41" i="12"/>
  <c r="O41" i="12" s="1"/>
  <c r="D40" i="12"/>
  <c r="O40" i="12" s="1"/>
  <c r="D39" i="12"/>
  <c r="O39" i="12" s="1"/>
  <c r="D38" i="12"/>
  <c r="O38" i="12" s="1"/>
  <c r="D37" i="12"/>
  <c r="O37" i="12" s="1"/>
  <c r="D36" i="12"/>
  <c r="O36" i="12" s="1"/>
  <c r="D35" i="12"/>
  <c r="O35" i="12" s="1"/>
  <c r="D34" i="12"/>
  <c r="O34" i="12" s="1"/>
  <c r="D33" i="12"/>
  <c r="O33" i="12" s="1"/>
  <c r="D32" i="12"/>
  <c r="O32" i="12" s="1"/>
  <c r="D31" i="12"/>
  <c r="O31" i="12" s="1"/>
  <c r="D30" i="12"/>
  <c r="O30" i="12" s="1"/>
  <c r="D29" i="12"/>
  <c r="O29" i="12" s="1"/>
  <c r="D28" i="12"/>
  <c r="O28" i="12" s="1"/>
  <c r="D27" i="12"/>
  <c r="O27" i="12" s="1"/>
  <c r="D26" i="12"/>
  <c r="O26" i="12" s="1"/>
  <c r="D25" i="12"/>
  <c r="O25" i="12" s="1"/>
  <c r="D24" i="12"/>
  <c r="O24" i="12" s="1"/>
  <c r="D23" i="12"/>
  <c r="O23" i="12" s="1"/>
  <c r="D22" i="12"/>
  <c r="O22" i="12" s="1"/>
  <c r="D21" i="12"/>
  <c r="O21" i="12" s="1"/>
  <c r="D20" i="12"/>
  <c r="O20" i="12" s="1"/>
  <c r="D19" i="12"/>
  <c r="O19" i="12" s="1"/>
  <c r="D18" i="12"/>
  <c r="O18" i="12" s="1"/>
  <c r="D17" i="12"/>
  <c r="O17" i="12" s="1"/>
  <c r="D16" i="12"/>
  <c r="O16" i="12" s="1"/>
  <c r="D15" i="12"/>
  <c r="O15" i="12" s="1"/>
  <c r="D14" i="12"/>
  <c r="O14" i="12" s="1"/>
  <c r="D13" i="12"/>
  <c r="O13" i="12" s="1"/>
  <c r="D12" i="12"/>
  <c r="O12" i="12" s="1"/>
  <c r="D11" i="12"/>
  <c r="O11" i="12" s="1"/>
  <c r="D10" i="12"/>
  <c r="O10" i="12" s="1"/>
  <c r="D9" i="12"/>
  <c r="O9" i="12" s="1"/>
  <c r="D8" i="12"/>
  <c r="D7" i="12"/>
  <c r="O7" i="12" s="1"/>
  <c r="D6" i="12"/>
  <c r="O6" i="12" s="1"/>
  <c r="D5" i="12"/>
  <c r="O5" i="12" s="1"/>
  <c r="D4" i="12"/>
  <c r="O4" i="12" s="1"/>
  <c r="D3" i="12"/>
  <c r="O3" i="12" s="1"/>
  <c r="D2" i="12"/>
  <c r="O2" i="12" s="1"/>
  <c r="B70" i="12"/>
  <c r="B72" i="12" s="1"/>
  <c r="B74" i="12" s="1"/>
  <c r="B75" i="12" s="1"/>
  <c r="O64" i="12"/>
  <c r="O55" i="12"/>
  <c r="O8" i="12"/>
  <c r="C29" i="9"/>
  <c r="D29" i="9"/>
  <c r="J29" i="9"/>
  <c r="I29" i="9"/>
  <c r="H29" i="9"/>
  <c r="P29" i="9"/>
  <c r="O29" i="9"/>
  <c r="N29" i="9"/>
  <c r="U29" i="9"/>
  <c r="T29" i="9"/>
  <c r="U30" i="9"/>
  <c r="U31" i="9" s="1"/>
  <c r="T30" i="9"/>
  <c r="T31" i="9" s="1"/>
  <c r="U26" i="9"/>
  <c r="T26" i="9"/>
  <c r="U28" i="9"/>
  <c r="T28" i="9"/>
  <c r="U25" i="9"/>
  <c r="T25" i="9"/>
  <c r="U19" i="9"/>
  <c r="U20" i="9" s="1"/>
  <c r="U21" i="9" s="1"/>
  <c r="U17" i="9"/>
  <c r="U16" i="9"/>
  <c r="U15" i="9"/>
  <c r="T15" i="9"/>
  <c r="U14" i="9"/>
  <c r="T14" i="9"/>
  <c r="U13" i="9"/>
  <c r="T13" i="9"/>
  <c r="U12" i="9"/>
  <c r="T12" i="9"/>
  <c r="U9" i="9"/>
  <c r="T9" i="9"/>
  <c r="U10" i="9"/>
  <c r="X7" i="9"/>
  <c r="V11" i="9"/>
  <c r="V8" i="9"/>
  <c r="T7" i="9"/>
  <c r="V6" i="9"/>
  <c r="V5" i="9"/>
  <c r="P28" i="9"/>
  <c r="O28" i="9"/>
  <c r="N28" i="9"/>
  <c r="J28" i="9"/>
  <c r="I28" i="9"/>
  <c r="H28" i="9"/>
  <c r="D28" i="9"/>
  <c r="C28" i="9"/>
  <c r="P25" i="9"/>
  <c r="O25" i="9"/>
  <c r="N25" i="9"/>
  <c r="C25" i="9"/>
  <c r="D25" i="9"/>
  <c r="J25" i="9"/>
  <c r="I25" i="9"/>
  <c r="H25" i="9"/>
  <c r="J15" i="9"/>
  <c r="P19" i="9"/>
  <c r="P7" i="9"/>
  <c r="P10" i="9" s="1"/>
  <c r="Q11" i="9"/>
  <c r="Q8" i="9"/>
  <c r="O19" i="9"/>
  <c r="N7" i="9"/>
  <c r="N15" i="9" s="1"/>
  <c r="Q6" i="9"/>
  <c r="Q5" i="9"/>
  <c r="K6" i="9"/>
  <c r="K11" i="9"/>
  <c r="K8" i="9"/>
  <c r="K5" i="9"/>
  <c r="J19" i="9"/>
  <c r="I127" i="11"/>
  <c r="G127" i="11"/>
  <c r="F127" i="11"/>
  <c r="L68" i="8"/>
  <c r="O54" i="8"/>
  <c r="H65" i="11"/>
  <c r="J65" i="11" s="1"/>
  <c r="O51" i="8"/>
  <c r="H48" i="11"/>
  <c r="J48" i="11" s="1"/>
  <c r="J121" i="11"/>
  <c r="J119" i="11"/>
  <c r="J117" i="11"/>
  <c r="J116" i="11"/>
  <c r="J115" i="11"/>
  <c r="J114" i="11"/>
  <c r="J111" i="11"/>
  <c r="J109" i="11"/>
  <c r="J106" i="11"/>
  <c r="J105" i="11"/>
  <c r="J102" i="11"/>
  <c r="J98" i="11"/>
  <c r="J97" i="11"/>
  <c r="J96" i="11"/>
  <c r="J95" i="11"/>
  <c r="J92" i="11"/>
  <c r="J89" i="11"/>
  <c r="J85" i="11"/>
  <c r="J83" i="11"/>
  <c r="J82" i="11"/>
  <c r="J79" i="11"/>
  <c r="J78" i="11"/>
  <c r="J77" i="11"/>
  <c r="J75" i="11"/>
  <c r="J71" i="11"/>
  <c r="J68" i="11"/>
  <c r="J66" i="11"/>
  <c r="J59" i="11"/>
  <c r="J57" i="11"/>
  <c r="J55" i="11"/>
  <c r="J51" i="11"/>
  <c r="J47" i="11"/>
  <c r="J42" i="11"/>
  <c r="J39" i="11"/>
  <c r="J37" i="11"/>
  <c r="J35" i="11"/>
  <c r="J31" i="11"/>
  <c r="J30" i="11"/>
  <c r="J24" i="11"/>
  <c r="J23" i="11"/>
  <c r="J21" i="11"/>
  <c r="J19" i="11"/>
  <c r="J17" i="11"/>
  <c r="J15" i="11"/>
  <c r="J13" i="11"/>
  <c r="J8" i="11"/>
  <c r="J7" i="11"/>
  <c r="J6" i="11"/>
  <c r="J4" i="11"/>
  <c r="J3" i="11"/>
  <c r="J127" i="11" s="1"/>
  <c r="D154" i="8"/>
  <c r="J151" i="8"/>
  <c r="F151" i="8"/>
  <c r="L99" i="8"/>
  <c r="O99" i="8"/>
  <c r="F99" i="8"/>
  <c r="A128" i="8"/>
  <c r="D151" i="8"/>
  <c r="D153" i="8" s="1"/>
  <c r="O124" i="8"/>
  <c r="Q124" i="8" s="1"/>
  <c r="L124" i="8"/>
  <c r="F124" i="8"/>
  <c r="O122" i="8"/>
  <c r="Q122" i="8" s="1"/>
  <c r="L122" i="8"/>
  <c r="F122" i="8"/>
  <c r="Q120" i="8"/>
  <c r="O120" i="8"/>
  <c r="L120" i="8"/>
  <c r="F120" i="8"/>
  <c r="O119" i="8"/>
  <c r="Q119" i="8" s="1"/>
  <c r="L119" i="8"/>
  <c r="H119" i="8"/>
  <c r="F119" i="8"/>
  <c r="O118" i="8"/>
  <c r="Q118" i="8" s="1"/>
  <c r="L118" i="8"/>
  <c r="F118" i="8"/>
  <c r="O117" i="8"/>
  <c r="Q117" i="8" s="1"/>
  <c r="L117" i="8"/>
  <c r="F117" i="8"/>
  <c r="M114" i="8"/>
  <c r="O114" i="8" s="1"/>
  <c r="F114" i="8"/>
  <c r="O112" i="8"/>
  <c r="Q112" i="8" s="1"/>
  <c r="L112" i="8"/>
  <c r="F112" i="8"/>
  <c r="L109" i="8"/>
  <c r="M109" i="8" s="1"/>
  <c r="O109" i="8" s="1"/>
  <c r="F109" i="8"/>
  <c r="M105" i="8"/>
  <c r="O105" i="8" s="1"/>
  <c r="Q105" i="8" s="1"/>
  <c r="F105" i="8"/>
  <c r="O101" i="8"/>
  <c r="Q101" i="8" s="1"/>
  <c r="L101" i="8"/>
  <c r="F101" i="8"/>
  <c r="I19" i="9"/>
  <c r="H7" i="9"/>
  <c r="H15" i="9" s="1"/>
  <c r="C7" i="9"/>
  <c r="C19" i="9" s="1"/>
  <c r="E11" i="9"/>
  <c r="D10" i="9"/>
  <c r="D15" i="9" s="1"/>
  <c r="E5" i="9"/>
  <c r="M174" i="8"/>
  <c r="M170" i="8"/>
  <c r="M169" i="8"/>
  <c r="J174" i="8"/>
  <c r="L174" i="8" s="1"/>
  <c r="M100" i="8"/>
  <c r="O100" i="8" s="1"/>
  <c r="Q100" i="8" s="1"/>
  <c r="M85" i="8"/>
  <c r="O85" i="8" s="1"/>
  <c r="F100" i="8"/>
  <c r="F85" i="8"/>
  <c r="V18" i="1"/>
  <c r="U18" i="1"/>
  <c r="T18" i="1"/>
  <c r="J29" i="1"/>
  <c r="N151" i="8"/>
  <c r="J27" i="1"/>
  <c r="L27" i="1"/>
  <c r="L29" i="1" s="1"/>
  <c r="R16" i="1"/>
  <c r="L23" i="1"/>
  <c r="D1" i="8"/>
  <c r="D3" i="8" s="1"/>
  <c r="H95" i="8" s="1"/>
  <c r="B1" i="8"/>
  <c r="B3" i="8" s="1"/>
  <c r="G93" i="8" s="1"/>
  <c r="J170" i="8"/>
  <c r="L170" i="8" s="1"/>
  <c r="J169" i="8"/>
  <c r="L169" i="8" s="1"/>
  <c r="L98" i="8"/>
  <c r="M98" i="8" s="1"/>
  <c r="O98" i="8" s="1"/>
  <c r="F98" i="8"/>
  <c r="L95" i="8"/>
  <c r="M95" i="8" s="1"/>
  <c r="O95" i="8" s="1"/>
  <c r="F95" i="8"/>
  <c r="M92" i="8"/>
  <c r="O92" i="8" s="1"/>
  <c r="F92" i="8"/>
  <c r="M88" i="8"/>
  <c r="O88" i="8" s="1"/>
  <c r="F88" i="8"/>
  <c r="M86" i="8"/>
  <c r="O86" i="8" s="1"/>
  <c r="Q86" i="8" s="1"/>
  <c r="F86" i="8"/>
  <c r="M82" i="8"/>
  <c r="O82" i="8" s="1"/>
  <c r="Q82" i="8" s="1"/>
  <c r="F82" i="8"/>
  <c r="M81" i="8"/>
  <c r="O81" i="8" s="1"/>
  <c r="F81" i="8"/>
  <c r="M80" i="8"/>
  <c r="O80" i="8" s="1"/>
  <c r="Q80" i="8" s="1"/>
  <c r="F80" i="8"/>
  <c r="M78" i="8"/>
  <c r="O78" i="8" s="1"/>
  <c r="F78" i="8"/>
  <c r="M74" i="8"/>
  <c r="O74" i="8" s="1"/>
  <c r="F74" i="8"/>
  <c r="M71" i="8"/>
  <c r="O71" i="8" s="1"/>
  <c r="Q71" i="8" s="1"/>
  <c r="F71" i="8"/>
  <c r="M69" i="8"/>
  <c r="O69" i="8" s="1"/>
  <c r="Q69" i="8" s="1"/>
  <c r="F69" i="8"/>
  <c r="O68" i="8"/>
  <c r="F68" i="8"/>
  <c r="M62" i="8"/>
  <c r="O62" i="8" s="1"/>
  <c r="Q62" i="8" s="1"/>
  <c r="F62" i="8"/>
  <c r="M60" i="8"/>
  <c r="O60" i="8" s="1"/>
  <c r="F60" i="8"/>
  <c r="M58" i="8"/>
  <c r="O58" i="8" s="1"/>
  <c r="F58" i="8"/>
  <c r="M54" i="8"/>
  <c r="Q54" i="8" s="1"/>
  <c r="F54" i="8"/>
  <c r="M51" i="8"/>
  <c r="F51" i="8"/>
  <c r="M50" i="8"/>
  <c r="O50" i="8" s="1"/>
  <c r="Q50" i="8" s="1"/>
  <c r="F50" i="8"/>
  <c r="M45" i="8"/>
  <c r="O45" i="8" s="1"/>
  <c r="Q45" i="8" s="1"/>
  <c r="F45" i="8"/>
  <c r="M42" i="8"/>
  <c r="O42" i="8" s="1"/>
  <c r="F42" i="8"/>
  <c r="M40" i="8"/>
  <c r="O40" i="8" s="1"/>
  <c r="F40" i="8"/>
  <c r="M38" i="8"/>
  <c r="O38" i="8" s="1"/>
  <c r="F38" i="8"/>
  <c r="M34" i="8"/>
  <c r="O34" i="8" s="1"/>
  <c r="F34" i="8"/>
  <c r="M33" i="8"/>
  <c r="O33" i="8" s="1"/>
  <c r="F33" i="8"/>
  <c r="M27" i="8"/>
  <c r="O27" i="8" s="1"/>
  <c r="F27" i="8"/>
  <c r="M26" i="8"/>
  <c r="O26" i="8" s="1"/>
  <c r="Q26" i="8" s="1"/>
  <c r="F26" i="8"/>
  <c r="M24" i="8"/>
  <c r="O24" i="8" s="1"/>
  <c r="Q24" i="8" s="1"/>
  <c r="F24" i="8"/>
  <c r="M22" i="8"/>
  <c r="O22" i="8" s="1"/>
  <c r="Q22" i="8" s="1"/>
  <c r="F22" i="8"/>
  <c r="M21" i="8"/>
  <c r="M20" i="8"/>
  <c r="O20" i="8" s="1"/>
  <c r="F20" i="8"/>
  <c r="M18" i="8"/>
  <c r="O18" i="8" s="1"/>
  <c r="F18" i="8"/>
  <c r="M16" i="8"/>
  <c r="O16" i="8" s="1"/>
  <c r="F16" i="8"/>
  <c r="M11" i="8"/>
  <c r="O11" i="8" s="1"/>
  <c r="F11" i="8"/>
  <c r="M9" i="8"/>
  <c r="O9" i="8" s="1"/>
  <c r="F9" i="8"/>
  <c r="M7" i="8"/>
  <c r="O7" i="8" s="1"/>
  <c r="F7" i="8"/>
  <c r="M6" i="8"/>
  <c r="O6" i="8" s="1"/>
  <c r="F6" i="8"/>
  <c r="H1" i="8"/>
  <c r="D120" i="7"/>
  <c r="L97" i="7"/>
  <c r="M97" i="7" s="1"/>
  <c r="O97" i="7" s="1"/>
  <c r="F97" i="7"/>
  <c r="L94" i="7"/>
  <c r="M94" i="7" s="1"/>
  <c r="O94" i="7" s="1"/>
  <c r="H96" i="7"/>
  <c r="F94" i="7"/>
  <c r="M91" i="7"/>
  <c r="O91" i="7" s="1"/>
  <c r="F91" i="7"/>
  <c r="M87" i="7"/>
  <c r="O87" i="7" s="1"/>
  <c r="F87" i="7"/>
  <c r="M85" i="7"/>
  <c r="O85" i="7" s="1"/>
  <c r="F85" i="7"/>
  <c r="M26" i="7"/>
  <c r="O26" i="7" s="1"/>
  <c r="F26" i="7"/>
  <c r="J158" i="7"/>
  <c r="I152" i="7"/>
  <c r="O39" i="1"/>
  <c r="O41" i="1" s="1"/>
  <c r="J139" i="7"/>
  <c r="L139" i="7" s="1"/>
  <c r="J138" i="7"/>
  <c r="L138" i="7" s="1"/>
  <c r="N120" i="7"/>
  <c r="L141" i="7" s="1"/>
  <c r="M82" i="7"/>
  <c r="O82" i="7" s="1"/>
  <c r="F82" i="7"/>
  <c r="M81" i="7"/>
  <c r="O81" i="7" s="1"/>
  <c r="F81" i="7"/>
  <c r="M80" i="7"/>
  <c r="O80" i="7" s="1"/>
  <c r="F80" i="7"/>
  <c r="M78" i="7"/>
  <c r="O78" i="7" s="1"/>
  <c r="F78" i="7"/>
  <c r="M74" i="7"/>
  <c r="O74" i="7" s="1"/>
  <c r="Q74" i="7" s="1"/>
  <c r="F74" i="7"/>
  <c r="M71" i="7"/>
  <c r="O71" i="7" s="1"/>
  <c r="F71" i="7"/>
  <c r="M69" i="7"/>
  <c r="O69" i="7" s="1"/>
  <c r="Q69" i="7" s="1"/>
  <c r="F69" i="7"/>
  <c r="L68" i="7"/>
  <c r="M68" i="7" s="1"/>
  <c r="O68" i="7" s="1"/>
  <c r="F68" i="7"/>
  <c r="M62" i="7"/>
  <c r="O62" i="7" s="1"/>
  <c r="F62" i="7"/>
  <c r="M60" i="7"/>
  <c r="O60" i="7" s="1"/>
  <c r="F60" i="7"/>
  <c r="M58" i="7"/>
  <c r="O58" i="7" s="1"/>
  <c r="F58" i="7"/>
  <c r="M54" i="7"/>
  <c r="O54" i="7" s="1"/>
  <c r="Q54" i="7" s="1"/>
  <c r="F54" i="7"/>
  <c r="M51" i="7"/>
  <c r="O51" i="7" s="1"/>
  <c r="Q51" i="7" s="1"/>
  <c r="F51" i="7"/>
  <c r="M50" i="7"/>
  <c r="O50" i="7" s="1"/>
  <c r="Q50" i="7" s="1"/>
  <c r="F50" i="7"/>
  <c r="M45" i="7"/>
  <c r="O45" i="7" s="1"/>
  <c r="F45" i="7"/>
  <c r="M42" i="7"/>
  <c r="O42" i="7" s="1"/>
  <c r="F42" i="7"/>
  <c r="M40" i="7"/>
  <c r="O40" i="7" s="1"/>
  <c r="F40" i="7"/>
  <c r="M38" i="7"/>
  <c r="O38" i="7" s="1"/>
  <c r="Q38" i="7" s="1"/>
  <c r="F38" i="7"/>
  <c r="M34" i="7"/>
  <c r="O34" i="7" s="1"/>
  <c r="Q34" i="7" s="1"/>
  <c r="F34" i="7"/>
  <c r="M33" i="7"/>
  <c r="O33" i="7" s="1"/>
  <c r="F33" i="7"/>
  <c r="M27" i="7"/>
  <c r="O27" i="7" s="1"/>
  <c r="F27" i="7"/>
  <c r="M24" i="7"/>
  <c r="O24" i="7" s="1"/>
  <c r="F24" i="7"/>
  <c r="M22" i="7"/>
  <c r="O22" i="7" s="1"/>
  <c r="F22" i="7"/>
  <c r="M21" i="7"/>
  <c r="M20" i="7"/>
  <c r="O20" i="7" s="1"/>
  <c r="F20" i="7"/>
  <c r="M18" i="7"/>
  <c r="O18" i="7" s="1"/>
  <c r="F18" i="7"/>
  <c r="M16" i="7"/>
  <c r="O16" i="7" s="1"/>
  <c r="Q16" i="7" s="1"/>
  <c r="F16" i="7"/>
  <c r="M11" i="7"/>
  <c r="O11" i="7" s="1"/>
  <c r="Q11" i="7" s="1"/>
  <c r="F11" i="7"/>
  <c r="M9" i="7"/>
  <c r="O9" i="7" s="1"/>
  <c r="F9" i="7"/>
  <c r="M7" i="7"/>
  <c r="O7" i="7" s="1"/>
  <c r="F7" i="7"/>
  <c r="M6" i="7"/>
  <c r="O6" i="7" s="1"/>
  <c r="F6" i="7"/>
  <c r="D3" i="7"/>
  <c r="H37" i="7" s="1"/>
  <c r="B3" i="7"/>
  <c r="G30" i="7" s="1"/>
  <c r="H1" i="7"/>
  <c r="H3" i="7" s="1"/>
  <c r="E67" i="2"/>
  <c r="D60" i="2"/>
  <c r="M60" i="2"/>
  <c r="Q55" i="2"/>
  <c r="O55" i="2"/>
  <c r="O60" i="2" s="1"/>
  <c r="N60" i="2"/>
  <c r="H60" i="2"/>
  <c r="G60" i="2"/>
  <c r="F60" i="2"/>
  <c r="M55" i="2"/>
  <c r="H56" i="2"/>
  <c r="G56" i="2"/>
  <c r="H55" i="2"/>
  <c r="G55" i="2"/>
  <c r="F55" i="2"/>
  <c r="Q51" i="2"/>
  <c r="O51" i="2"/>
  <c r="M51" i="2"/>
  <c r="H54" i="2"/>
  <c r="G54" i="2"/>
  <c r="H53" i="2"/>
  <c r="G53" i="2"/>
  <c r="H52" i="2"/>
  <c r="G52" i="2"/>
  <c r="H51" i="2"/>
  <c r="G51" i="2"/>
  <c r="F51" i="2"/>
  <c r="Q48" i="2"/>
  <c r="O48" i="2"/>
  <c r="M48" i="2"/>
  <c r="H50" i="2"/>
  <c r="G50" i="2"/>
  <c r="H49" i="2"/>
  <c r="G49" i="2"/>
  <c r="H48" i="2"/>
  <c r="G48" i="2"/>
  <c r="F48" i="2"/>
  <c r="Q47" i="2"/>
  <c r="O47" i="2"/>
  <c r="M47" i="2"/>
  <c r="H47" i="2"/>
  <c r="G47" i="2"/>
  <c r="F47" i="2"/>
  <c r="M42" i="2"/>
  <c r="O42" i="2" s="1"/>
  <c r="Q42" i="2" s="1"/>
  <c r="F42" i="2"/>
  <c r="M39" i="2"/>
  <c r="O39" i="2" s="1"/>
  <c r="Q39" i="2" s="1"/>
  <c r="F39" i="2"/>
  <c r="A58" i="5"/>
  <c r="M32" i="2"/>
  <c r="O32" i="2" s="1"/>
  <c r="H32" i="2"/>
  <c r="M37" i="2"/>
  <c r="O37" i="2" s="1"/>
  <c r="Q37" i="2" s="1"/>
  <c r="M11" i="2"/>
  <c r="O11" i="2" s="1"/>
  <c r="H1" i="2"/>
  <c r="H2" i="2" s="1"/>
  <c r="I21" i="2" s="1"/>
  <c r="D3" i="2"/>
  <c r="H37" i="2" s="1"/>
  <c r="F37" i="2"/>
  <c r="F33" i="2"/>
  <c r="F32" i="2"/>
  <c r="F26" i="2"/>
  <c r="F24" i="2"/>
  <c r="F22" i="2"/>
  <c r="F20" i="2"/>
  <c r="F18" i="2"/>
  <c r="F16" i="2"/>
  <c r="F11" i="2"/>
  <c r="F9" i="2"/>
  <c r="F7" i="2"/>
  <c r="B3" i="2"/>
  <c r="G31" i="2" s="1"/>
  <c r="F6" i="2"/>
  <c r="H27" i="1"/>
  <c r="F27" i="1"/>
  <c r="D27" i="1"/>
  <c r="B27" i="1"/>
  <c r="B92" i="1" s="1"/>
  <c r="B94" i="1" s="1"/>
  <c r="B98" i="1" s="1"/>
  <c r="M33" i="2"/>
  <c r="O33" i="2" s="1"/>
  <c r="Q33" i="2" s="1"/>
  <c r="M26" i="2"/>
  <c r="O26" i="2" s="1"/>
  <c r="Q26" i="2" s="1"/>
  <c r="M24" i="2"/>
  <c r="O24" i="2" s="1"/>
  <c r="Q24" i="2" s="1"/>
  <c r="M22" i="2"/>
  <c r="O22" i="2" s="1"/>
  <c r="Q22" i="2" s="1"/>
  <c r="M21" i="2"/>
  <c r="M20" i="2"/>
  <c r="O20" i="2" s="1"/>
  <c r="Q20" i="2" s="1"/>
  <c r="M18" i="2"/>
  <c r="O18" i="2" s="1"/>
  <c r="Q18" i="2" s="1"/>
  <c r="M16" i="2"/>
  <c r="O16" i="2" s="1"/>
  <c r="M9" i="2"/>
  <c r="O9" i="2" s="1"/>
  <c r="Q9" i="2" s="1"/>
  <c r="M7" i="2"/>
  <c r="O7" i="2" s="1"/>
  <c r="Q7" i="2" s="1"/>
  <c r="M6" i="2"/>
  <c r="O6" i="2" s="1"/>
  <c r="Q6" i="2" s="1"/>
  <c r="E95" i="1"/>
  <c r="E96" i="1" s="1"/>
  <c r="B105" i="1"/>
  <c r="G91" i="1"/>
  <c r="G88" i="1"/>
  <c r="L70" i="12" l="1"/>
  <c r="I15" i="12"/>
  <c r="I28" i="12"/>
  <c r="I40" i="12"/>
  <c r="I53" i="12"/>
  <c r="I65" i="12"/>
  <c r="J9" i="12"/>
  <c r="J22" i="12"/>
  <c r="J34" i="12"/>
  <c r="J47" i="12"/>
  <c r="J59" i="12"/>
  <c r="K3" i="12"/>
  <c r="K15" i="12"/>
  <c r="K29" i="12"/>
  <c r="K42" i="12"/>
  <c r="K54" i="12"/>
  <c r="I4" i="12"/>
  <c r="I16" i="12"/>
  <c r="I29" i="12"/>
  <c r="I41" i="12"/>
  <c r="I55" i="12"/>
  <c r="I68" i="12"/>
  <c r="J10" i="12"/>
  <c r="J23" i="12"/>
  <c r="J35" i="12"/>
  <c r="J49" i="12"/>
  <c r="J62" i="12"/>
  <c r="K5" i="12"/>
  <c r="K18" i="12"/>
  <c r="K30" i="12"/>
  <c r="K43" i="12"/>
  <c r="K55" i="12"/>
  <c r="I7" i="12"/>
  <c r="I20" i="12"/>
  <c r="I32" i="12"/>
  <c r="I45" i="12"/>
  <c r="I57" i="12"/>
  <c r="J14" i="12"/>
  <c r="J26" i="12"/>
  <c r="J39" i="12"/>
  <c r="J51" i="12"/>
  <c r="J65" i="12"/>
  <c r="K7" i="12"/>
  <c r="K21" i="12"/>
  <c r="K34" i="12"/>
  <c r="K46" i="12"/>
  <c r="K59" i="12"/>
  <c r="I8" i="12"/>
  <c r="I21" i="12"/>
  <c r="I33" i="12"/>
  <c r="I47" i="12"/>
  <c r="I60" i="12"/>
  <c r="J2" i="12"/>
  <c r="J15" i="12"/>
  <c r="J27" i="12"/>
  <c r="J41" i="12"/>
  <c r="J54" i="12"/>
  <c r="J66" i="12"/>
  <c r="K10" i="12"/>
  <c r="K22" i="12"/>
  <c r="K35" i="12"/>
  <c r="K47" i="12"/>
  <c r="K61" i="12"/>
  <c r="I9" i="12"/>
  <c r="I23" i="12"/>
  <c r="I36" i="12"/>
  <c r="I48" i="12"/>
  <c r="I61" i="12"/>
  <c r="J3" i="12"/>
  <c r="J17" i="12"/>
  <c r="J30" i="12"/>
  <c r="J42" i="12"/>
  <c r="J55" i="12"/>
  <c r="J67" i="12"/>
  <c r="K11" i="12"/>
  <c r="K23" i="12"/>
  <c r="K37" i="12"/>
  <c r="K50" i="12"/>
  <c r="K62" i="12"/>
  <c r="K13" i="12"/>
  <c r="K26" i="12"/>
  <c r="K38" i="12"/>
  <c r="K51" i="12"/>
  <c r="K63" i="12"/>
  <c r="I13" i="12"/>
  <c r="I25" i="12"/>
  <c r="I39" i="12"/>
  <c r="I52" i="12"/>
  <c r="I64" i="12"/>
  <c r="J7" i="12"/>
  <c r="J19" i="12"/>
  <c r="J33" i="12"/>
  <c r="J46" i="12"/>
  <c r="J58" i="12"/>
  <c r="K2" i="12"/>
  <c r="K14" i="12"/>
  <c r="K27" i="12"/>
  <c r="K39" i="12"/>
  <c r="K53" i="12"/>
  <c r="K66" i="12"/>
  <c r="I2" i="12"/>
  <c r="I10" i="12"/>
  <c r="I18" i="12"/>
  <c r="I26" i="12"/>
  <c r="I34" i="12"/>
  <c r="I42" i="12"/>
  <c r="I50" i="12"/>
  <c r="I58" i="12"/>
  <c r="I66" i="12"/>
  <c r="J4" i="12"/>
  <c r="J70" i="12" s="1"/>
  <c r="J12" i="12"/>
  <c r="J20" i="12"/>
  <c r="J28" i="12"/>
  <c r="J36" i="12"/>
  <c r="J44" i="12"/>
  <c r="J52" i="12"/>
  <c r="J60" i="12"/>
  <c r="J68" i="12"/>
  <c r="K8" i="12"/>
  <c r="K16" i="12"/>
  <c r="K24" i="12"/>
  <c r="K32" i="12"/>
  <c r="K40" i="12"/>
  <c r="K48" i="12"/>
  <c r="K56" i="12"/>
  <c r="K64" i="12"/>
  <c r="I3" i="12"/>
  <c r="I11" i="12"/>
  <c r="I19" i="12"/>
  <c r="I27" i="12"/>
  <c r="I35" i="12"/>
  <c r="I43" i="12"/>
  <c r="I51" i="12"/>
  <c r="I59" i="12"/>
  <c r="I67" i="12"/>
  <c r="J5" i="12"/>
  <c r="J13" i="12"/>
  <c r="J21" i="12"/>
  <c r="J29" i="12"/>
  <c r="J37" i="12"/>
  <c r="J45" i="12"/>
  <c r="J53" i="12"/>
  <c r="J61" i="12"/>
  <c r="K9" i="12"/>
  <c r="K17" i="12"/>
  <c r="K25" i="12"/>
  <c r="K33" i="12"/>
  <c r="K41" i="12"/>
  <c r="K49" i="12"/>
  <c r="K57" i="12"/>
  <c r="K65" i="12"/>
  <c r="K67" i="12"/>
  <c r="I6" i="12"/>
  <c r="I14" i="12"/>
  <c r="I22" i="12"/>
  <c r="I30" i="12"/>
  <c r="I38" i="12"/>
  <c r="I46" i="12"/>
  <c r="I54" i="12"/>
  <c r="I62" i="12"/>
  <c r="J8" i="12"/>
  <c r="J16" i="12"/>
  <c r="J24" i="12"/>
  <c r="J32" i="12"/>
  <c r="J40" i="12"/>
  <c r="J48" i="12"/>
  <c r="J56" i="12"/>
  <c r="J64" i="12"/>
  <c r="K4" i="12"/>
  <c r="K12" i="12"/>
  <c r="K20" i="12"/>
  <c r="K28" i="12"/>
  <c r="K36" i="12"/>
  <c r="K44" i="12"/>
  <c r="K52" i="12"/>
  <c r="K60" i="12"/>
  <c r="G2" i="12"/>
  <c r="H2" i="12" s="1"/>
  <c r="D70" i="12"/>
  <c r="O70" i="12"/>
  <c r="O72" i="12" s="1"/>
  <c r="V28" i="9"/>
  <c r="V29" i="9" s="1"/>
  <c r="U22" i="9"/>
  <c r="K28" i="9"/>
  <c r="V7" i="9"/>
  <c r="O15" i="9"/>
  <c r="Q15" i="9" s="1"/>
  <c r="E28" i="9"/>
  <c r="Q28" i="9"/>
  <c r="T19" i="9"/>
  <c r="T10" i="9"/>
  <c r="V15" i="9"/>
  <c r="I15" i="9"/>
  <c r="Q7" i="9"/>
  <c r="N10" i="9"/>
  <c r="N19" i="9"/>
  <c r="O10" i="9"/>
  <c r="D19" i="9"/>
  <c r="J10" i="9"/>
  <c r="K7" i="9"/>
  <c r="H127" i="11"/>
  <c r="H125" i="8"/>
  <c r="G99" i="8"/>
  <c r="J99" i="8" s="1"/>
  <c r="H113" i="8"/>
  <c r="G121" i="8"/>
  <c r="H99" i="8"/>
  <c r="Q99" i="8"/>
  <c r="Q114" i="8"/>
  <c r="I124" i="8"/>
  <c r="G116" i="8"/>
  <c r="G118" i="8"/>
  <c r="H121" i="8"/>
  <c r="G125" i="8"/>
  <c r="G114" i="8"/>
  <c r="G122" i="8"/>
  <c r="I125" i="8"/>
  <c r="H116" i="8"/>
  <c r="H118" i="8"/>
  <c r="G112" i="8"/>
  <c r="H114" i="8"/>
  <c r="H122" i="8"/>
  <c r="H123" i="8"/>
  <c r="H112" i="8"/>
  <c r="G117" i="8"/>
  <c r="G120" i="8"/>
  <c r="I123" i="8"/>
  <c r="G115" i="8"/>
  <c r="H117" i="8"/>
  <c r="H120" i="8"/>
  <c r="G123" i="8"/>
  <c r="G124" i="8"/>
  <c r="J124" i="8" s="1"/>
  <c r="G113" i="8"/>
  <c r="H115" i="8"/>
  <c r="G119" i="8"/>
  <c r="H124" i="8"/>
  <c r="N174" i="8"/>
  <c r="G31" i="8"/>
  <c r="M171" i="8"/>
  <c r="G107" i="8"/>
  <c r="G101" i="8"/>
  <c r="Q109" i="8"/>
  <c r="G103" i="8"/>
  <c r="H106" i="8"/>
  <c r="H110" i="8"/>
  <c r="G20" i="8"/>
  <c r="H103" i="8"/>
  <c r="G111" i="8"/>
  <c r="G91" i="8"/>
  <c r="G100" i="8"/>
  <c r="H101" i="8"/>
  <c r="G104" i="8"/>
  <c r="H107" i="8"/>
  <c r="H111" i="8"/>
  <c r="G48" i="8"/>
  <c r="L171" i="8"/>
  <c r="H3" i="8" s="1"/>
  <c r="H2" i="8" s="1"/>
  <c r="I99" i="8" s="1"/>
  <c r="H100" i="8"/>
  <c r="H104" i="8"/>
  <c r="G105" i="8"/>
  <c r="G109" i="8"/>
  <c r="G102" i="8"/>
  <c r="H105" i="8"/>
  <c r="H109" i="8"/>
  <c r="G108" i="8"/>
  <c r="G65" i="8"/>
  <c r="G85" i="8"/>
  <c r="H102" i="8"/>
  <c r="H108" i="8"/>
  <c r="H85" i="8"/>
  <c r="G106" i="8"/>
  <c r="G110" i="8"/>
  <c r="F153" i="8"/>
  <c r="I10" i="9"/>
  <c r="H10" i="9"/>
  <c r="H19" i="9"/>
  <c r="E7" i="9"/>
  <c r="D9" i="9" s="1"/>
  <c r="C10" i="9"/>
  <c r="C15" i="9" s="1"/>
  <c r="O151" i="8"/>
  <c r="Q85" i="8"/>
  <c r="M151" i="8"/>
  <c r="L172" i="8"/>
  <c r="K27" i="1"/>
  <c r="M153" i="8"/>
  <c r="K29" i="1"/>
  <c r="D62" i="2"/>
  <c r="D122" i="7"/>
  <c r="M122" i="7" s="1"/>
  <c r="H15" i="8"/>
  <c r="H38" i="8"/>
  <c r="H33" i="8"/>
  <c r="H55" i="8"/>
  <c r="H57" i="8"/>
  <c r="H67" i="8"/>
  <c r="H10" i="8"/>
  <c r="H24" i="8"/>
  <c r="H28" i="8"/>
  <c r="H43" i="8"/>
  <c r="H48" i="8"/>
  <c r="H52" i="8"/>
  <c r="H62" i="8"/>
  <c r="H98" i="8"/>
  <c r="H71" i="8"/>
  <c r="H76" i="8"/>
  <c r="H88" i="8"/>
  <c r="H93" i="8"/>
  <c r="H17" i="8"/>
  <c r="H40" i="8"/>
  <c r="H45" i="8"/>
  <c r="H50" i="8"/>
  <c r="H83" i="8"/>
  <c r="H26" i="8"/>
  <c r="H31" i="8"/>
  <c r="H12" i="8"/>
  <c r="H36" i="8"/>
  <c r="H64" i="8"/>
  <c r="H69" i="8"/>
  <c r="H78" i="8"/>
  <c r="H86" i="8"/>
  <c r="H8" i="8"/>
  <c r="H91" i="8"/>
  <c r="G53" i="8"/>
  <c r="G96" i="8"/>
  <c r="G36" i="8"/>
  <c r="G13" i="8"/>
  <c r="G81" i="8"/>
  <c r="G74" i="8"/>
  <c r="G8" i="8"/>
  <c r="G24" i="8"/>
  <c r="G55" i="8"/>
  <c r="G60" i="8"/>
  <c r="G71" i="8"/>
  <c r="G45" i="8"/>
  <c r="G79" i="8"/>
  <c r="G86" i="8"/>
  <c r="G98" i="8"/>
  <c r="G6" i="8"/>
  <c r="G38" i="8"/>
  <c r="G41" i="8"/>
  <c r="G50" i="8"/>
  <c r="G69" i="8"/>
  <c r="G76" i="8"/>
  <c r="G89" i="8"/>
  <c r="G94" i="8"/>
  <c r="G10" i="8"/>
  <c r="G15" i="8"/>
  <c r="G22" i="8"/>
  <c r="G26" i="8"/>
  <c r="G29" i="8"/>
  <c r="G62" i="8"/>
  <c r="G67" i="8"/>
  <c r="G43" i="8"/>
  <c r="G83" i="8"/>
  <c r="Q98" i="8"/>
  <c r="Q9" i="8"/>
  <c r="Q92" i="8"/>
  <c r="Q34" i="8"/>
  <c r="Q7" i="8"/>
  <c r="Q38" i="8"/>
  <c r="Q18" i="8"/>
  <c r="Q42" i="8"/>
  <c r="Q60" i="8"/>
  <c r="Q68" i="8"/>
  <c r="Q27" i="8"/>
  <c r="Q78" i="8"/>
  <c r="Q51" i="8"/>
  <c r="Q74" i="8"/>
  <c r="Q11" i="8"/>
  <c r="Q33" i="8"/>
  <c r="Q40" i="8"/>
  <c r="Q58" i="8"/>
  <c r="Q6" i="8"/>
  <c r="Q16" i="8"/>
  <c r="Q81" i="8"/>
  <c r="Q95" i="8"/>
  <c r="Q20" i="8"/>
  <c r="Q88" i="8"/>
  <c r="H6" i="8"/>
  <c r="H13" i="8"/>
  <c r="G18" i="8"/>
  <c r="H20" i="8"/>
  <c r="H22" i="8"/>
  <c r="H29" i="8"/>
  <c r="G32" i="8"/>
  <c r="G34" i="8"/>
  <c r="G39" i="8"/>
  <c r="H41" i="8"/>
  <c r="G46" i="8"/>
  <c r="H53" i="8"/>
  <c r="G58" i="8"/>
  <c r="H60" i="8"/>
  <c r="H65" i="8"/>
  <c r="G72" i="8"/>
  <c r="H74" i="8"/>
  <c r="G77" i="8"/>
  <c r="H79" i="8"/>
  <c r="H81" i="8"/>
  <c r="G87" i="8"/>
  <c r="H89" i="8"/>
  <c r="H94" i="8"/>
  <c r="H96" i="8"/>
  <c r="G11" i="8"/>
  <c r="G16" i="8"/>
  <c r="H18" i="8"/>
  <c r="G25" i="8"/>
  <c r="G27" i="8"/>
  <c r="H32" i="8"/>
  <c r="H34" i="8"/>
  <c r="G37" i="8"/>
  <c r="H39" i="8"/>
  <c r="G44" i="8"/>
  <c r="H46" i="8"/>
  <c r="G49" i="8"/>
  <c r="G51" i="8"/>
  <c r="G56" i="8"/>
  <c r="H58" i="8"/>
  <c r="G63" i="8"/>
  <c r="G68" i="8"/>
  <c r="G70" i="8"/>
  <c r="H72" i="8"/>
  <c r="H77" i="8"/>
  <c r="G84" i="8"/>
  <c r="H87" i="8"/>
  <c r="G92" i="8"/>
  <c r="G9" i="8"/>
  <c r="H11" i="8"/>
  <c r="G14" i="8"/>
  <c r="H16" i="8"/>
  <c r="G21" i="8"/>
  <c r="G23" i="8"/>
  <c r="H25" i="8"/>
  <c r="H27" i="8"/>
  <c r="G30" i="8"/>
  <c r="H37" i="8"/>
  <c r="H44" i="8"/>
  <c r="H49" i="8"/>
  <c r="H51" i="8"/>
  <c r="H56" i="8"/>
  <c r="G61" i="8"/>
  <c r="H63" i="8"/>
  <c r="G66" i="8"/>
  <c r="H68" i="8"/>
  <c r="H70" i="8"/>
  <c r="G75" i="8"/>
  <c r="H84" i="8"/>
  <c r="G90" i="8"/>
  <c r="H92" i="8"/>
  <c r="G97" i="8"/>
  <c r="G7" i="8"/>
  <c r="H9" i="8"/>
  <c r="H14" i="8"/>
  <c r="G19" i="8"/>
  <c r="H21" i="8"/>
  <c r="H23" i="8"/>
  <c r="H30" i="8"/>
  <c r="G35" i="8"/>
  <c r="G42" i="8"/>
  <c r="G47" i="8"/>
  <c r="G54" i="8"/>
  <c r="G59" i="8"/>
  <c r="H61" i="8"/>
  <c r="H66" i="8"/>
  <c r="G73" i="8"/>
  <c r="H75" i="8"/>
  <c r="G80" i="8"/>
  <c r="G82" i="8"/>
  <c r="H90" i="8"/>
  <c r="G95" i="8"/>
  <c r="H97" i="8"/>
  <c r="H7" i="8"/>
  <c r="G12" i="8"/>
  <c r="G17" i="8"/>
  <c r="H19" i="8"/>
  <c r="G28" i="8"/>
  <c r="G33" i="8"/>
  <c r="H35" i="8"/>
  <c r="G40" i="8"/>
  <c r="H42" i="8"/>
  <c r="H47" i="8"/>
  <c r="G52" i="8"/>
  <c r="H54" i="8"/>
  <c r="G57" i="8"/>
  <c r="H59" i="8"/>
  <c r="G64" i="8"/>
  <c r="H73" i="8"/>
  <c r="G78" i="8"/>
  <c r="H80" i="8"/>
  <c r="H82" i="8"/>
  <c r="G88" i="8"/>
  <c r="Q94" i="7"/>
  <c r="Q97" i="7"/>
  <c r="G94" i="7"/>
  <c r="H94" i="7"/>
  <c r="G95" i="7"/>
  <c r="G97" i="7"/>
  <c r="H95" i="7"/>
  <c r="H97" i="7"/>
  <c r="G96" i="7"/>
  <c r="L140" i="7"/>
  <c r="L142" i="7" s="1"/>
  <c r="G74" i="7"/>
  <c r="G89" i="7"/>
  <c r="H69" i="7"/>
  <c r="G47" i="7"/>
  <c r="H62" i="7"/>
  <c r="H26" i="7"/>
  <c r="G84" i="7"/>
  <c r="H91" i="7"/>
  <c r="G53" i="7"/>
  <c r="G87" i="7"/>
  <c r="G40" i="7"/>
  <c r="G92" i="7"/>
  <c r="G58" i="7"/>
  <c r="Q87" i="7"/>
  <c r="Q26" i="7"/>
  <c r="Q85" i="7"/>
  <c r="Q91" i="7"/>
  <c r="G52" i="7"/>
  <c r="G79" i="7"/>
  <c r="H89" i="7"/>
  <c r="G41" i="7"/>
  <c r="G48" i="7"/>
  <c r="G59" i="7"/>
  <c r="G65" i="7"/>
  <c r="G75" i="7"/>
  <c r="G85" i="7"/>
  <c r="H87" i="7"/>
  <c r="G90" i="7"/>
  <c r="H92" i="7"/>
  <c r="G66" i="7"/>
  <c r="G77" i="7"/>
  <c r="G80" i="7"/>
  <c r="H85" i="7"/>
  <c r="H90" i="7"/>
  <c r="G54" i="7"/>
  <c r="G88" i="7"/>
  <c r="G93" i="7"/>
  <c r="F120" i="7"/>
  <c r="G42" i="7"/>
  <c r="H55" i="7"/>
  <c r="G60" i="7"/>
  <c r="G72" i="7"/>
  <c r="G86" i="7"/>
  <c r="H88" i="7"/>
  <c r="H93" i="7"/>
  <c r="G43" i="7"/>
  <c r="G61" i="7"/>
  <c r="G73" i="7"/>
  <c r="G81" i="7"/>
  <c r="G26" i="7"/>
  <c r="H86" i="7"/>
  <c r="G91" i="7"/>
  <c r="Q60" i="7"/>
  <c r="Q68" i="7"/>
  <c r="Q78" i="7"/>
  <c r="Q42" i="7"/>
  <c r="O120" i="7"/>
  <c r="Q82" i="7"/>
  <c r="Q81" i="7"/>
  <c r="Q40" i="7"/>
  <c r="Q45" i="7"/>
  <c r="Q58" i="7"/>
  <c r="Q71" i="7"/>
  <c r="Q62" i="7"/>
  <c r="Q80" i="7"/>
  <c r="H42" i="7"/>
  <c r="H47" i="7"/>
  <c r="H60" i="7"/>
  <c r="H65" i="7"/>
  <c r="H74" i="7"/>
  <c r="H79" i="7"/>
  <c r="H81" i="7"/>
  <c r="H84" i="7"/>
  <c r="M120" i="7"/>
  <c r="M124" i="7" s="1"/>
  <c r="H40" i="7"/>
  <c r="G45" i="7"/>
  <c r="G50" i="7"/>
  <c r="H52" i="7"/>
  <c r="G56" i="7"/>
  <c r="H58" i="7"/>
  <c r="G63" i="7"/>
  <c r="G68" i="7"/>
  <c r="G70" i="7"/>
  <c r="H72" i="7"/>
  <c r="H77" i="7"/>
  <c r="G82" i="7"/>
  <c r="H45" i="7"/>
  <c r="H50" i="7"/>
  <c r="H63" i="7"/>
  <c r="H68" i="7"/>
  <c r="H70" i="7"/>
  <c r="H48" i="7"/>
  <c r="H61" i="7"/>
  <c r="H41" i="7"/>
  <c r="G46" i="7"/>
  <c r="H53" i="7"/>
  <c r="H54" i="7"/>
  <c r="G57" i="7"/>
  <c r="H59" i="7"/>
  <c r="G64" i="7"/>
  <c r="H73" i="7"/>
  <c r="G78" i="7"/>
  <c r="H80" i="7"/>
  <c r="G83" i="7"/>
  <c r="H66" i="7"/>
  <c r="H75" i="7"/>
  <c r="G44" i="7"/>
  <c r="H46" i="7"/>
  <c r="G49" i="7"/>
  <c r="G51" i="7"/>
  <c r="H57" i="7"/>
  <c r="H64" i="7"/>
  <c r="G67" i="7"/>
  <c r="G71" i="7"/>
  <c r="G76" i="7"/>
  <c r="H78" i="7"/>
  <c r="H83" i="7"/>
  <c r="H56" i="7"/>
  <c r="H82" i="7"/>
  <c r="H43" i="7"/>
  <c r="H44" i="7"/>
  <c r="H49" i="7"/>
  <c r="H51" i="7"/>
  <c r="G55" i="7"/>
  <c r="G62" i="7"/>
  <c r="H67" i="7"/>
  <c r="G69" i="7"/>
  <c r="H71" i="7"/>
  <c r="H76" i="7"/>
  <c r="H11" i="7"/>
  <c r="G6" i="7"/>
  <c r="G13" i="7"/>
  <c r="H22" i="7"/>
  <c r="H13" i="7"/>
  <c r="G20" i="7"/>
  <c r="H24" i="7"/>
  <c r="G9" i="7"/>
  <c r="G14" i="7"/>
  <c r="G36" i="7"/>
  <c r="H9" i="7"/>
  <c r="H21" i="7"/>
  <c r="H38" i="7"/>
  <c r="H6" i="7"/>
  <c r="H31" i="7"/>
  <c r="N122" i="7"/>
  <c r="N124" i="7" s="1"/>
  <c r="H36" i="7"/>
  <c r="H14" i="7"/>
  <c r="G22" i="7"/>
  <c r="H25" i="7"/>
  <c r="H2" i="7"/>
  <c r="H20" i="7"/>
  <c r="H8" i="7"/>
  <c r="H16" i="7"/>
  <c r="G23" i="7"/>
  <c r="G35" i="7"/>
  <c r="G21" i="7"/>
  <c r="H23" i="7"/>
  <c r="H30" i="7"/>
  <c r="H35" i="7"/>
  <c r="Q9" i="7"/>
  <c r="Q22" i="7"/>
  <c r="Q18" i="7"/>
  <c r="Q24" i="7"/>
  <c r="Q33" i="7"/>
  <c r="Q6" i="7"/>
  <c r="Q7" i="7"/>
  <c r="Q20" i="7"/>
  <c r="Q27" i="7"/>
  <c r="G18" i="7"/>
  <c r="G28" i="7"/>
  <c r="G33" i="7"/>
  <c r="G11" i="7"/>
  <c r="G16" i="7"/>
  <c r="H18" i="7"/>
  <c r="G25" i="7"/>
  <c r="H28" i="7"/>
  <c r="G31" i="7"/>
  <c r="H33" i="7"/>
  <c r="G38" i="7"/>
  <c r="G19" i="7"/>
  <c r="G29" i="7"/>
  <c r="H7" i="7"/>
  <c r="G12" i="7"/>
  <c r="G32" i="7"/>
  <c r="G34" i="7"/>
  <c r="H12" i="7"/>
  <c r="H17" i="7"/>
  <c r="H34" i="7"/>
  <c r="G37" i="7"/>
  <c r="H39" i="7"/>
  <c r="G7" i="7"/>
  <c r="G17" i="7"/>
  <c r="H19" i="7"/>
  <c r="H29" i="7"/>
  <c r="G39" i="7"/>
  <c r="G10" i="7"/>
  <c r="G15" i="7"/>
  <c r="G27" i="7"/>
  <c r="H32" i="7"/>
  <c r="G8" i="7"/>
  <c r="H10" i="7"/>
  <c r="H15" i="7"/>
  <c r="G24" i="7"/>
  <c r="H27" i="7"/>
  <c r="I53" i="2"/>
  <c r="I49" i="2"/>
  <c r="I55" i="2"/>
  <c r="I47" i="2"/>
  <c r="J47" i="2" s="1"/>
  <c r="I50" i="2"/>
  <c r="I56" i="2"/>
  <c r="I51" i="2"/>
  <c r="J51" i="2" s="1"/>
  <c r="I48" i="2"/>
  <c r="J48" i="2" s="1"/>
  <c r="K48" i="2" s="1"/>
  <c r="R48" i="2" s="1"/>
  <c r="S48" i="2" s="1"/>
  <c r="I54" i="2"/>
  <c r="I52" i="2"/>
  <c r="H43" i="2"/>
  <c r="I43" i="2"/>
  <c r="I41" i="2"/>
  <c r="I44" i="2"/>
  <c r="I45" i="2"/>
  <c r="H46" i="2"/>
  <c r="G41" i="2"/>
  <c r="H39" i="2"/>
  <c r="G44" i="2"/>
  <c r="I46" i="2"/>
  <c r="H40" i="2"/>
  <c r="H44" i="2"/>
  <c r="H41" i="2"/>
  <c r="G42" i="2"/>
  <c r="I39" i="2"/>
  <c r="H42" i="2"/>
  <c r="G45" i="2"/>
  <c r="G40" i="2"/>
  <c r="I40" i="2"/>
  <c r="I42" i="2"/>
  <c r="H45" i="2"/>
  <c r="G39" i="2"/>
  <c r="G43" i="2"/>
  <c r="G46" i="2"/>
  <c r="G12" i="2"/>
  <c r="G8" i="2"/>
  <c r="H18" i="2"/>
  <c r="H22" i="2"/>
  <c r="H10" i="2"/>
  <c r="H26" i="2"/>
  <c r="H30" i="2"/>
  <c r="G20" i="2"/>
  <c r="G16" i="2"/>
  <c r="H14" i="2"/>
  <c r="Q32" i="2"/>
  <c r="Q11" i="2"/>
  <c r="G24" i="2"/>
  <c r="Q16" i="2"/>
  <c r="H20" i="2"/>
  <c r="I20" i="2"/>
  <c r="I32" i="2"/>
  <c r="G28" i="2"/>
  <c r="G36" i="2"/>
  <c r="G21" i="2"/>
  <c r="H34" i="2"/>
  <c r="H3" i="2"/>
  <c r="H21" i="2"/>
  <c r="H6" i="2"/>
  <c r="H38" i="2"/>
  <c r="G32" i="2"/>
  <c r="I34" i="2"/>
  <c r="I26" i="2"/>
  <c r="I18" i="2"/>
  <c r="I10" i="2"/>
  <c r="I15" i="2"/>
  <c r="I33" i="2"/>
  <c r="I25" i="2"/>
  <c r="I17" i="2"/>
  <c r="I9" i="2"/>
  <c r="I23" i="2"/>
  <c r="I24" i="2"/>
  <c r="I16" i="2"/>
  <c r="I8" i="2"/>
  <c r="I31" i="2"/>
  <c r="I7" i="2"/>
  <c r="I38" i="2"/>
  <c r="I30" i="2"/>
  <c r="I22" i="2"/>
  <c r="I14" i="2"/>
  <c r="I6" i="2"/>
  <c r="I37" i="2"/>
  <c r="I29" i="2"/>
  <c r="I13" i="2"/>
  <c r="I27" i="2"/>
  <c r="I19" i="2"/>
  <c r="I11" i="2"/>
  <c r="I36" i="2"/>
  <c r="I28" i="2"/>
  <c r="I12" i="2"/>
  <c r="I35" i="2"/>
  <c r="G9" i="2"/>
  <c r="G17" i="2"/>
  <c r="G25" i="2"/>
  <c r="G33" i="2"/>
  <c r="H7" i="2"/>
  <c r="H15" i="2"/>
  <c r="H23" i="2"/>
  <c r="H31" i="2"/>
  <c r="G10" i="2"/>
  <c r="G18" i="2"/>
  <c r="G26" i="2"/>
  <c r="G34" i="2"/>
  <c r="H8" i="2"/>
  <c r="H16" i="2"/>
  <c r="H24" i="2"/>
  <c r="G11" i="2"/>
  <c r="G19" i="2"/>
  <c r="G27" i="2"/>
  <c r="G35" i="2"/>
  <c r="H9" i="2"/>
  <c r="H17" i="2"/>
  <c r="H25" i="2"/>
  <c r="H33" i="2"/>
  <c r="G13" i="2"/>
  <c r="G29" i="2"/>
  <c r="G37" i="2"/>
  <c r="H11" i="2"/>
  <c r="H19" i="2"/>
  <c r="H27" i="2"/>
  <c r="H35" i="2"/>
  <c r="G6" i="2"/>
  <c r="G14" i="2"/>
  <c r="G22" i="2"/>
  <c r="G30" i="2"/>
  <c r="G38" i="2"/>
  <c r="H12" i="2"/>
  <c r="H28" i="2"/>
  <c r="H36" i="2"/>
  <c r="G7" i="2"/>
  <c r="G15" i="2"/>
  <c r="G23" i="2"/>
  <c r="H13" i="2"/>
  <c r="H29" i="2"/>
  <c r="B99" i="1"/>
  <c r="B100" i="1" s="1"/>
  <c r="E97" i="1" s="1"/>
  <c r="E98" i="1" s="1"/>
  <c r="E100" i="1" s="1"/>
  <c r="E101" i="1" s="1"/>
  <c r="K70" i="12" l="1"/>
  <c r="I70" i="12"/>
  <c r="X8" i="9"/>
  <c r="X9" i="9" s="1"/>
  <c r="E19" i="9"/>
  <c r="K19" i="9"/>
  <c r="V10" i="9"/>
  <c r="V19" i="9"/>
  <c r="J9" i="9"/>
  <c r="K25" i="9"/>
  <c r="D14" i="9"/>
  <c r="D13" i="9"/>
  <c r="D12" i="9"/>
  <c r="C9" i="9"/>
  <c r="P9" i="9"/>
  <c r="P14" i="9" s="1"/>
  <c r="N9" i="9"/>
  <c r="N12" i="9" s="1"/>
  <c r="O9" i="9"/>
  <c r="Q19" i="9"/>
  <c r="Q10" i="9"/>
  <c r="H9" i="9"/>
  <c r="I9" i="9"/>
  <c r="K15" i="9"/>
  <c r="K10" i="9"/>
  <c r="K99" i="8"/>
  <c r="P99" i="8"/>
  <c r="R99" i="8"/>
  <c r="S99" i="8" s="1"/>
  <c r="K124" i="8"/>
  <c r="R124" i="8" s="1"/>
  <c r="S124" i="8" s="1"/>
  <c r="P124" i="8"/>
  <c r="J117" i="8"/>
  <c r="I82" i="8"/>
  <c r="I120" i="8"/>
  <c r="I117" i="8"/>
  <c r="I115" i="8"/>
  <c r="I112" i="8"/>
  <c r="J112" i="8" s="1"/>
  <c r="I122" i="8"/>
  <c r="J122" i="8" s="1"/>
  <c r="I114" i="8"/>
  <c r="I121" i="8"/>
  <c r="I118" i="8"/>
  <c r="J118" i="8" s="1"/>
  <c r="I116" i="8"/>
  <c r="I119" i="8"/>
  <c r="J119" i="8" s="1"/>
  <c r="I113" i="8"/>
  <c r="I90" i="8"/>
  <c r="I96" i="8"/>
  <c r="I14" i="8"/>
  <c r="I11" i="8"/>
  <c r="I91" i="8"/>
  <c r="I59" i="8"/>
  <c r="I84" i="8"/>
  <c r="I77" i="8"/>
  <c r="I53" i="8"/>
  <c r="I61" i="8"/>
  <c r="I27" i="8"/>
  <c r="I32" i="8"/>
  <c r="I48" i="8"/>
  <c r="I38" i="8"/>
  <c r="I74" i="8"/>
  <c r="I7" i="8"/>
  <c r="I93" i="8"/>
  <c r="I52" i="8"/>
  <c r="I69" i="8"/>
  <c r="L173" i="8"/>
  <c r="I23" i="8"/>
  <c r="I70" i="8"/>
  <c r="I44" i="8"/>
  <c r="I39" i="8"/>
  <c r="I65" i="8"/>
  <c r="I67" i="8"/>
  <c r="I57" i="8"/>
  <c r="I30" i="8"/>
  <c r="I51" i="8"/>
  <c r="I94" i="8"/>
  <c r="I12" i="8"/>
  <c r="I71" i="8"/>
  <c r="I33" i="8"/>
  <c r="J33" i="8" s="1"/>
  <c r="K33" i="8" s="1"/>
  <c r="R33" i="8" s="1"/>
  <c r="S33" i="8" s="1"/>
  <c r="I75" i="8"/>
  <c r="I21" i="8"/>
  <c r="I16" i="8"/>
  <c r="I87" i="8"/>
  <c r="I22" i="8"/>
  <c r="I36" i="8"/>
  <c r="I42" i="8"/>
  <c r="I97" i="8"/>
  <c r="I9" i="8"/>
  <c r="I46" i="8"/>
  <c r="I63" i="8"/>
  <c r="I37" i="8"/>
  <c r="I58" i="8"/>
  <c r="J58" i="8" s="1"/>
  <c r="K58" i="8" s="1"/>
  <c r="R58" i="8" s="1"/>
  <c r="S58" i="8" s="1"/>
  <c r="I34" i="8"/>
  <c r="I79" i="8"/>
  <c r="I60" i="8"/>
  <c r="I41" i="8"/>
  <c r="I20" i="8"/>
  <c r="I35" i="8"/>
  <c r="I76" i="8"/>
  <c r="I43" i="8"/>
  <c r="I40" i="8"/>
  <c r="I95" i="8"/>
  <c r="I17" i="8"/>
  <c r="I29" i="8"/>
  <c r="I6" i="8"/>
  <c r="J6" i="8" s="1"/>
  <c r="K6" i="8" s="1"/>
  <c r="R6" i="8" s="1"/>
  <c r="S6" i="8" s="1"/>
  <c r="I24" i="8"/>
  <c r="I31" i="8"/>
  <c r="I86" i="8"/>
  <c r="I45" i="8"/>
  <c r="G151" i="8"/>
  <c r="H151" i="8"/>
  <c r="I88" i="8"/>
  <c r="I56" i="8"/>
  <c r="I18" i="8"/>
  <c r="I89" i="8"/>
  <c r="I13" i="8"/>
  <c r="I83" i="8"/>
  <c r="I62" i="8"/>
  <c r="I15" i="8"/>
  <c r="I54" i="8"/>
  <c r="I64" i="8"/>
  <c r="I73" i="8"/>
  <c r="I108" i="8"/>
  <c r="I102" i="8"/>
  <c r="I109" i="8"/>
  <c r="I105" i="8"/>
  <c r="I104" i="8"/>
  <c r="I100" i="8"/>
  <c r="J100" i="8" s="1"/>
  <c r="I111" i="8"/>
  <c r="I107" i="8"/>
  <c r="I101" i="8"/>
  <c r="I103" i="8"/>
  <c r="I110" i="8"/>
  <c r="I106" i="8"/>
  <c r="I85" i="8"/>
  <c r="J85" i="8" s="1"/>
  <c r="I66" i="8"/>
  <c r="I92" i="8"/>
  <c r="I68" i="8"/>
  <c r="J68" i="8" s="1"/>
  <c r="K68" i="8" s="1"/>
  <c r="R68" i="8" s="1"/>
  <c r="S68" i="8" s="1"/>
  <c r="I49" i="8"/>
  <c r="I25" i="8"/>
  <c r="J24" i="8" s="1"/>
  <c r="P24" i="8" s="1"/>
  <c r="I72" i="8"/>
  <c r="I81" i="8"/>
  <c r="J81" i="8" s="1"/>
  <c r="K81" i="8" s="1"/>
  <c r="R81" i="8" s="1"/>
  <c r="S81" i="8" s="1"/>
  <c r="I98" i="8"/>
  <c r="J98" i="8" s="1"/>
  <c r="I55" i="8"/>
  <c r="I8" i="8"/>
  <c r="I78" i="8"/>
  <c r="I28" i="8"/>
  <c r="I47" i="8"/>
  <c r="I80" i="8"/>
  <c r="J80" i="8" s="1"/>
  <c r="N153" i="8"/>
  <c r="N155" i="8" s="1"/>
  <c r="I50" i="8"/>
  <c r="J50" i="8" s="1"/>
  <c r="I19" i="8"/>
  <c r="I10" i="8"/>
  <c r="I26" i="8"/>
  <c r="J26" i="8" s="1"/>
  <c r="N171" i="8"/>
  <c r="N175" i="8" s="1"/>
  <c r="F155" i="8"/>
  <c r="E15" i="9"/>
  <c r="E10" i="9"/>
  <c r="M155" i="8"/>
  <c r="M62" i="2"/>
  <c r="F62" i="2"/>
  <c r="F64" i="2" s="1"/>
  <c r="J20" i="8"/>
  <c r="K20" i="8" s="1"/>
  <c r="R20" i="8" s="1"/>
  <c r="S20" i="8" s="1"/>
  <c r="I97" i="7"/>
  <c r="J97" i="7" s="1"/>
  <c r="I95" i="7"/>
  <c r="I94" i="7"/>
  <c r="J94" i="7" s="1"/>
  <c r="I96" i="7"/>
  <c r="I93" i="7"/>
  <c r="I88" i="7"/>
  <c r="I89" i="7"/>
  <c r="I90" i="7"/>
  <c r="I85" i="7"/>
  <c r="I92" i="7"/>
  <c r="I87" i="7"/>
  <c r="I91" i="7"/>
  <c r="I26" i="7"/>
  <c r="J26" i="7" s="1"/>
  <c r="I86" i="7"/>
  <c r="G120" i="7"/>
  <c r="I13" i="7"/>
  <c r="I83" i="7"/>
  <c r="I78" i="7"/>
  <c r="I64" i="7"/>
  <c r="I57" i="7"/>
  <c r="I46" i="7"/>
  <c r="I82" i="7"/>
  <c r="I70" i="7"/>
  <c r="I77" i="7"/>
  <c r="I58" i="7"/>
  <c r="I80" i="7"/>
  <c r="J80" i="7" s="1"/>
  <c r="I73" i="7"/>
  <c r="I59" i="7"/>
  <c r="I54" i="7"/>
  <c r="I53" i="7"/>
  <c r="I41" i="7"/>
  <c r="I68" i="7"/>
  <c r="J68" i="7" s="1"/>
  <c r="I56" i="7"/>
  <c r="I45" i="7"/>
  <c r="I75" i="7"/>
  <c r="I66" i="7"/>
  <c r="I61" i="7"/>
  <c r="I48" i="7"/>
  <c r="I43" i="7"/>
  <c r="I63" i="7"/>
  <c r="I50" i="7"/>
  <c r="J50" i="7" s="1"/>
  <c r="I72" i="7"/>
  <c r="I52" i="7"/>
  <c r="I40" i="7"/>
  <c r="I84" i="7"/>
  <c r="I81" i="7"/>
  <c r="J81" i="7" s="1"/>
  <c r="I79" i="7"/>
  <c r="I74" i="7"/>
  <c r="I65" i="7"/>
  <c r="I60" i="7"/>
  <c r="I47" i="7"/>
  <c r="I42" i="7"/>
  <c r="I69" i="7"/>
  <c r="I62" i="7"/>
  <c r="I55" i="7"/>
  <c r="I76" i="7"/>
  <c r="I71" i="7"/>
  <c r="I67" i="7"/>
  <c r="I51" i="7"/>
  <c r="I49" i="7"/>
  <c r="I44" i="7"/>
  <c r="H120" i="7"/>
  <c r="I19" i="7"/>
  <c r="I29" i="7"/>
  <c r="I35" i="7"/>
  <c r="I34" i="7"/>
  <c r="I32" i="7"/>
  <c r="I14" i="7"/>
  <c r="I31" i="7"/>
  <c r="I25" i="7"/>
  <c r="I24" i="7"/>
  <c r="I12" i="7"/>
  <c r="I23" i="7"/>
  <c r="I16" i="7"/>
  <c r="I8" i="7"/>
  <c r="I36" i="7"/>
  <c r="I21" i="7"/>
  <c r="O122" i="7"/>
  <c r="O124" i="7" s="1"/>
  <c r="O126" i="7" s="1"/>
  <c r="I39" i="7"/>
  <c r="I15" i="7"/>
  <c r="I27" i="7"/>
  <c r="I10" i="7"/>
  <c r="I37" i="7"/>
  <c r="I6" i="7"/>
  <c r="I9" i="7"/>
  <c r="I33" i="7"/>
  <c r="J33" i="7" s="1"/>
  <c r="I17" i="7"/>
  <c r="I11" i="7"/>
  <c r="I28" i="7"/>
  <c r="I22" i="7"/>
  <c r="I7" i="7"/>
  <c r="I38" i="7"/>
  <c r="I18" i="7"/>
  <c r="I20" i="7"/>
  <c r="I30" i="7"/>
  <c r="F122" i="7"/>
  <c r="J55" i="2"/>
  <c r="I60" i="2"/>
  <c r="K51" i="2"/>
  <c r="R51" i="2" s="1"/>
  <c r="S51" i="2" s="1"/>
  <c r="P51" i="2"/>
  <c r="K47" i="2"/>
  <c r="R47" i="2" s="1"/>
  <c r="S47" i="2" s="1"/>
  <c r="P47" i="2"/>
  <c r="P55" i="2"/>
  <c r="K55" i="2"/>
  <c r="R55" i="2" s="1"/>
  <c r="S55" i="2" s="1"/>
  <c r="P48" i="2"/>
  <c r="N64" i="2"/>
  <c r="I62" i="2"/>
  <c r="J42" i="2"/>
  <c r="J37" i="2"/>
  <c r="P37" i="2" s="1"/>
  <c r="P42" i="2"/>
  <c r="K42" i="2"/>
  <c r="R42" i="2" s="1"/>
  <c r="S42" i="2" s="1"/>
  <c r="J39" i="2"/>
  <c r="J32" i="2"/>
  <c r="K32" i="2" s="1"/>
  <c r="R32" i="2" s="1"/>
  <c r="S32" i="2" s="1"/>
  <c r="J6" i="2"/>
  <c r="J33" i="2"/>
  <c r="K33" i="2" s="1"/>
  <c r="R33" i="2" s="1"/>
  <c r="S33" i="2" s="1"/>
  <c r="J24" i="2"/>
  <c r="K24" i="2" s="1"/>
  <c r="R24" i="2" s="1"/>
  <c r="S24" i="2" s="1"/>
  <c r="J18" i="2"/>
  <c r="P18" i="2" s="1"/>
  <c r="J9" i="2"/>
  <c r="K9" i="2" s="1"/>
  <c r="R9" i="2" s="1"/>
  <c r="S9" i="2" s="1"/>
  <c r="J7" i="2"/>
  <c r="P7" i="2" s="1"/>
  <c r="J22" i="2"/>
  <c r="J11" i="2"/>
  <c r="J26" i="2"/>
  <c r="J16" i="2"/>
  <c r="G62" i="2"/>
  <c r="J20" i="2"/>
  <c r="V13" i="9" l="1"/>
  <c r="V12" i="9"/>
  <c r="V14" i="9"/>
  <c r="V9" i="9"/>
  <c r="N14" i="9"/>
  <c r="Q9" i="9"/>
  <c r="C14" i="9"/>
  <c r="E14" i="9" s="1"/>
  <c r="C13" i="9"/>
  <c r="E13" i="9" s="1"/>
  <c r="C12" i="9"/>
  <c r="E12" i="9" s="1"/>
  <c r="E9" i="9"/>
  <c r="D16" i="9"/>
  <c r="D26" i="9" s="1"/>
  <c r="D30" i="9" s="1"/>
  <c r="D31" i="9" s="1"/>
  <c r="P13" i="9"/>
  <c r="P12" i="9"/>
  <c r="H12" i="9"/>
  <c r="H13" i="9"/>
  <c r="N13" i="9"/>
  <c r="O14" i="9"/>
  <c r="O13" i="9"/>
  <c r="O12" i="9"/>
  <c r="H14" i="9"/>
  <c r="I14" i="9"/>
  <c r="I13" i="9"/>
  <c r="J14" i="9"/>
  <c r="J13" i="9"/>
  <c r="J12" i="9"/>
  <c r="K9" i="9"/>
  <c r="I12" i="9"/>
  <c r="J114" i="8"/>
  <c r="J82" i="8"/>
  <c r="P119" i="8"/>
  <c r="K119" i="8"/>
  <c r="R119" i="8" s="1"/>
  <c r="S119" i="8" s="1"/>
  <c r="P112" i="8"/>
  <c r="K112" i="8"/>
  <c r="R112" i="8" s="1"/>
  <c r="S112" i="8" s="1"/>
  <c r="K114" i="8"/>
  <c r="R114" i="8" s="1"/>
  <c r="S114" i="8" s="1"/>
  <c r="P114" i="8"/>
  <c r="P122" i="8"/>
  <c r="K122" i="8"/>
  <c r="R122" i="8" s="1"/>
  <c r="S122" i="8" s="1"/>
  <c r="P117" i="8"/>
  <c r="K117" i="8"/>
  <c r="R117" i="8" s="1"/>
  <c r="S117" i="8" s="1"/>
  <c r="J120" i="8"/>
  <c r="K118" i="8"/>
  <c r="R118" i="8" s="1"/>
  <c r="S118" i="8" s="1"/>
  <c r="P118" i="8"/>
  <c r="J22" i="8"/>
  <c r="K22" i="8" s="1"/>
  <c r="R22" i="8" s="1"/>
  <c r="S22" i="8" s="1"/>
  <c r="J42" i="8"/>
  <c r="P42" i="8" s="1"/>
  <c r="J69" i="8"/>
  <c r="K69" i="8" s="1"/>
  <c r="R69" i="8" s="1"/>
  <c r="S69" i="8" s="1"/>
  <c r="J78" i="8"/>
  <c r="K78" i="8" s="1"/>
  <c r="R78" i="8" s="1"/>
  <c r="S78" i="8" s="1"/>
  <c r="J38" i="8"/>
  <c r="K38" i="8" s="1"/>
  <c r="R38" i="8" s="1"/>
  <c r="S38" i="8" s="1"/>
  <c r="J7" i="8"/>
  <c r="P7" i="8" s="1"/>
  <c r="J16" i="8"/>
  <c r="K16" i="8" s="1"/>
  <c r="R16" i="8" s="1"/>
  <c r="S16" i="8" s="1"/>
  <c r="J60" i="8"/>
  <c r="K60" i="8" s="1"/>
  <c r="R60" i="8" s="1"/>
  <c r="S60" i="8" s="1"/>
  <c r="J95" i="8"/>
  <c r="K95" i="8" s="1"/>
  <c r="R95" i="8" s="1"/>
  <c r="S95" i="8" s="1"/>
  <c r="J40" i="8"/>
  <c r="K40" i="8" s="1"/>
  <c r="R40" i="8" s="1"/>
  <c r="S40" i="8" s="1"/>
  <c r="J74" i="8"/>
  <c r="K74" i="8" s="1"/>
  <c r="R74" i="8" s="1"/>
  <c r="S74" i="8" s="1"/>
  <c r="J34" i="8"/>
  <c r="K34" i="8" s="1"/>
  <c r="R34" i="8" s="1"/>
  <c r="S34" i="8" s="1"/>
  <c r="J51" i="8"/>
  <c r="K51" i="8" s="1"/>
  <c r="R51" i="8" s="1"/>
  <c r="S51" i="8" s="1"/>
  <c r="J9" i="8"/>
  <c r="P9" i="8" s="1"/>
  <c r="J86" i="8"/>
  <c r="K86" i="8" s="1"/>
  <c r="R86" i="8" s="1"/>
  <c r="S86" i="8" s="1"/>
  <c r="J92" i="8"/>
  <c r="K92" i="8" s="1"/>
  <c r="R92" i="8" s="1"/>
  <c r="S92" i="8" s="1"/>
  <c r="J54" i="8"/>
  <c r="K54" i="8" s="1"/>
  <c r="R54" i="8" s="1"/>
  <c r="S54" i="8" s="1"/>
  <c r="J27" i="8"/>
  <c r="K27" i="8" s="1"/>
  <c r="R27" i="8" s="1"/>
  <c r="S27" i="8" s="1"/>
  <c r="P33" i="8"/>
  <c r="J71" i="8"/>
  <c r="K71" i="8" s="1"/>
  <c r="R71" i="8" s="1"/>
  <c r="S71" i="8" s="1"/>
  <c r="J88" i="8"/>
  <c r="K88" i="8" s="1"/>
  <c r="R88" i="8" s="1"/>
  <c r="S88" i="8" s="1"/>
  <c r="J11" i="8"/>
  <c r="P11" i="8" s="1"/>
  <c r="J18" i="8"/>
  <c r="P18" i="8" s="1"/>
  <c r="J101" i="8"/>
  <c r="P101" i="8" s="1"/>
  <c r="J62" i="8"/>
  <c r="K62" i="8" s="1"/>
  <c r="R62" i="8" s="1"/>
  <c r="S62" i="8" s="1"/>
  <c r="J109" i="8"/>
  <c r="K109" i="8" s="1"/>
  <c r="R109" i="8" s="1"/>
  <c r="S109" i="8" s="1"/>
  <c r="J45" i="8"/>
  <c r="P45" i="8" s="1"/>
  <c r="K50" i="8"/>
  <c r="R50" i="8" s="1"/>
  <c r="S50" i="8" s="1"/>
  <c r="P50" i="8"/>
  <c r="K26" i="8"/>
  <c r="R26" i="8" s="1"/>
  <c r="S26" i="8" s="1"/>
  <c r="P26" i="8"/>
  <c r="K100" i="8"/>
  <c r="R100" i="8" s="1"/>
  <c r="S100" i="8" s="1"/>
  <c r="P100" i="8"/>
  <c r="P58" i="8"/>
  <c r="K24" i="8"/>
  <c r="R24" i="8" s="1"/>
  <c r="S24" i="8" s="1"/>
  <c r="K85" i="8"/>
  <c r="R85" i="8" s="1"/>
  <c r="S85" i="8" s="1"/>
  <c r="P85" i="8"/>
  <c r="O153" i="8"/>
  <c r="O155" i="8" s="1"/>
  <c r="O157" i="8" s="1"/>
  <c r="J105" i="8"/>
  <c r="I151" i="8"/>
  <c r="I153" i="8" s="1"/>
  <c r="I155" i="8" s="1"/>
  <c r="K98" i="8"/>
  <c r="R98" i="8" s="1"/>
  <c r="S98" i="8" s="1"/>
  <c r="J62" i="2"/>
  <c r="O62" i="2"/>
  <c r="O64" i="2" s="1"/>
  <c r="O66" i="2" s="1"/>
  <c r="M64" i="2"/>
  <c r="P20" i="8"/>
  <c r="P68" i="8"/>
  <c r="P16" i="8"/>
  <c r="P6" i="8"/>
  <c r="P81" i="8"/>
  <c r="P69" i="8"/>
  <c r="P78" i="8"/>
  <c r="P98" i="8"/>
  <c r="P74" i="8"/>
  <c r="G153" i="8"/>
  <c r="H153" i="8"/>
  <c r="H155" i="8" s="1"/>
  <c r="K42" i="8"/>
  <c r="R42" i="8" s="1"/>
  <c r="S42" i="8" s="1"/>
  <c r="K82" i="8"/>
  <c r="R82" i="8" s="1"/>
  <c r="S82" i="8" s="1"/>
  <c r="P82" i="8"/>
  <c r="K80" i="8"/>
  <c r="R80" i="8" s="1"/>
  <c r="S80" i="8" s="1"/>
  <c r="P80" i="8"/>
  <c r="K94" i="7"/>
  <c r="R94" i="7" s="1"/>
  <c r="S94" i="7" s="1"/>
  <c r="P94" i="7"/>
  <c r="K97" i="7"/>
  <c r="R97" i="7" s="1"/>
  <c r="S97" i="7" s="1"/>
  <c r="P97" i="7"/>
  <c r="J20" i="7"/>
  <c r="K20" i="7" s="1"/>
  <c r="R20" i="7" s="1"/>
  <c r="S20" i="7" s="1"/>
  <c r="J22" i="7"/>
  <c r="P22" i="7" s="1"/>
  <c r="J60" i="7"/>
  <c r="K60" i="7" s="1"/>
  <c r="R60" i="7" s="1"/>
  <c r="S60" i="7" s="1"/>
  <c r="J85" i="7"/>
  <c r="K85" i="7" s="1"/>
  <c r="R85" i="7" s="1"/>
  <c r="S85" i="7" s="1"/>
  <c r="J78" i="7"/>
  <c r="P78" i="7" s="1"/>
  <c r="J87" i="7"/>
  <c r="K87" i="7" s="1"/>
  <c r="R87" i="7" s="1"/>
  <c r="S87" i="7" s="1"/>
  <c r="J54" i="7"/>
  <c r="K54" i="7" s="1"/>
  <c r="R54" i="7" s="1"/>
  <c r="S54" i="7" s="1"/>
  <c r="J91" i="7"/>
  <c r="K91" i="7" s="1"/>
  <c r="R91" i="7" s="1"/>
  <c r="S91" i="7" s="1"/>
  <c r="J74" i="7"/>
  <c r="K74" i="7" s="1"/>
  <c r="R74" i="7" s="1"/>
  <c r="S74" i="7" s="1"/>
  <c r="J42" i="7"/>
  <c r="P42" i="7" s="1"/>
  <c r="J45" i="7"/>
  <c r="K45" i="7" s="1"/>
  <c r="R45" i="7" s="1"/>
  <c r="S45" i="7" s="1"/>
  <c r="J58" i="7"/>
  <c r="P58" i="7" s="1"/>
  <c r="K26" i="7"/>
  <c r="R26" i="7" s="1"/>
  <c r="S26" i="7" s="1"/>
  <c r="P26" i="7"/>
  <c r="J71" i="7"/>
  <c r="K71" i="7" s="1"/>
  <c r="R71" i="7" s="1"/>
  <c r="S71" i="7" s="1"/>
  <c r="J62" i="7"/>
  <c r="K62" i="7" s="1"/>
  <c r="R62" i="7" s="1"/>
  <c r="S62" i="7" s="1"/>
  <c r="J51" i="7"/>
  <c r="P51" i="7" s="1"/>
  <c r="J82" i="7"/>
  <c r="K82" i="7" s="1"/>
  <c r="R82" i="7" s="1"/>
  <c r="S82" i="7" s="1"/>
  <c r="J24" i="7"/>
  <c r="P24" i="7" s="1"/>
  <c r="J69" i="7"/>
  <c r="P69" i="7" s="1"/>
  <c r="K68" i="7"/>
  <c r="R68" i="7" s="1"/>
  <c r="S68" i="7" s="1"/>
  <c r="P68" i="7"/>
  <c r="K80" i="7"/>
  <c r="R80" i="7" s="1"/>
  <c r="S80" i="7" s="1"/>
  <c r="P80" i="7"/>
  <c r="K50" i="7"/>
  <c r="R50" i="7" s="1"/>
  <c r="S50" i="7" s="1"/>
  <c r="P50" i="7"/>
  <c r="K81" i="7"/>
  <c r="R81" i="7" s="1"/>
  <c r="S81" i="7" s="1"/>
  <c r="P81" i="7"/>
  <c r="J6" i="7"/>
  <c r="P6" i="7" s="1"/>
  <c r="I120" i="7"/>
  <c r="I122" i="7" s="1"/>
  <c r="I124" i="7" s="1"/>
  <c r="J34" i="7"/>
  <c r="K34" i="7" s="1"/>
  <c r="R34" i="7" s="1"/>
  <c r="S34" i="7" s="1"/>
  <c r="J40" i="7"/>
  <c r="J18" i="7"/>
  <c r="K18" i="7" s="1"/>
  <c r="R18" i="7" s="1"/>
  <c r="S18" i="7" s="1"/>
  <c r="J38" i="7"/>
  <c r="K38" i="7" s="1"/>
  <c r="R38" i="7" s="1"/>
  <c r="S38" i="7" s="1"/>
  <c r="J27" i="7"/>
  <c r="P27" i="7" s="1"/>
  <c r="J11" i="7"/>
  <c r="K11" i="7" s="1"/>
  <c r="R11" i="7" s="1"/>
  <c r="S11" i="7" s="1"/>
  <c r="J16" i="7"/>
  <c r="K16" i="7" s="1"/>
  <c r="R16" i="7" s="1"/>
  <c r="S16" i="7" s="1"/>
  <c r="K33" i="7"/>
  <c r="R33" i="7" s="1"/>
  <c r="S33" i="7" s="1"/>
  <c r="P33" i="7"/>
  <c r="J9" i="7"/>
  <c r="J7" i="7"/>
  <c r="G122" i="7"/>
  <c r="G124" i="7" s="1"/>
  <c r="H122" i="7"/>
  <c r="H124" i="7" s="1"/>
  <c r="F124" i="7"/>
  <c r="P6" i="2"/>
  <c r="J60" i="2"/>
  <c r="K39" i="2"/>
  <c r="R39" i="2" s="1"/>
  <c r="S39" i="2" s="1"/>
  <c r="P39" i="2"/>
  <c r="K6" i="2"/>
  <c r="R6" i="2" s="1"/>
  <c r="S6" i="2" s="1"/>
  <c r="P32" i="2"/>
  <c r="P33" i="2"/>
  <c r="K18" i="2"/>
  <c r="R18" i="2" s="1"/>
  <c r="S18" i="2" s="1"/>
  <c r="P24" i="2"/>
  <c r="I64" i="2"/>
  <c r="K7" i="2"/>
  <c r="R7" i="2" s="1"/>
  <c r="S7" i="2" s="1"/>
  <c r="P9" i="2"/>
  <c r="G64" i="2"/>
  <c r="H62" i="2"/>
  <c r="K26" i="2"/>
  <c r="R26" i="2" s="1"/>
  <c r="S26" i="2" s="1"/>
  <c r="P26" i="2"/>
  <c r="K16" i="2"/>
  <c r="R16" i="2" s="1"/>
  <c r="S16" i="2" s="1"/>
  <c r="P16" i="2"/>
  <c r="K11" i="2"/>
  <c r="R11" i="2" s="1"/>
  <c r="S11" i="2" s="1"/>
  <c r="P11" i="2"/>
  <c r="K37" i="2"/>
  <c r="R37" i="2" s="1"/>
  <c r="S37" i="2" s="1"/>
  <c r="K22" i="2"/>
  <c r="R22" i="2" s="1"/>
  <c r="S22" i="2" s="1"/>
  <c r="P22" i="2"/>
  <c r="K20" i="2"/>
  <c r="R20" i="2" s="1"/>
  <c r="S20" i="2" s="1"/>
  <c r="P20" i="2"/>
  <c r="Q14" i="9" l="1"/>
  <c r="P16" i="9"/>
  <c r="T16" i="9"/>
  <c r="N16" i="9"/>
  <c r="C16" i="9"/>
  <c r="D17" i="9"/>
  <c r="D20" i="9"/>
  <c r="D21" i="9" s="1"/>
  <c r="D22" i="9" s="1"/>
  <c r="Q13" i="9"/>
  <c r="O16" i="9"/>
  <c r="O26" i="9" s="1"/>
  <c r="O30" i="9" s="1"/>
  <c r="O31" i="9" s="1"/>
  <c r="Q12" i="9"/>
  <c r="K14" i="9"/>
  <c r="J16" i="9"/>
  <c r="K13" i="9"/>
  <c r="K12" i="9"/>
  <c r="I16" i="9"/>
  <c r="I26" i="9" s="1"/>
  <c r="I30" i="9" s="1"/>
  <c r="I31" i="9" s="1"/>
  <c r="K7" i="8"/>
  <c r="R7" i="8" s="1"/>
  <c r="S7" i="8" s="1"/>
  <c r="K120" i="8"/>
  <c r="R120" i="8" s="1"/>
  <c r="S120" i="8" s="1"/>
  <c r="P120" i="8"/>
  <c r="K9" i="8"/>
  <c r="R9" i="8" s="1"/>
  <c r="S9" i="8" s="1"/>
  <c r="P22" i="8"/>
  <c r="P54" i="8"/>
  <c r="P95" i="8"/>
  <c r="P51" i="8"/>
  <c r="P40" i="8"/>
  <c r="P86" i="8"/>
  <c r="P34" i="8"/>
  <c r="P38" i="8"/>
  <c r="P71" i="8"/>
  <c r="P60" i="8"/>
  <c r="P92" i="8"/>
  <c r="P27" i="8"/>
  <c r="K11" i="8"/>
  <c r="R11" i="8" s="1"/>
  <c r="S11" i="8" s="1"/>
  <c r="K101" i="8"/>
  <c r="R101" i="8" s="1"/>
  <c r="S101" i="8" s="1"/>
  <c r="P88" i="8"/>
  <c r="K18" i="8"/>
  <c r="R18" i="8" s="1"/>
  <c r="S18" i="8" s="1"/>
  <c r="K45" i="8"/>
  <c r="R45" i="8" s="1"/>
  <c r="S45" i="8" s="1"/>
  <c r="P109" i="8"/>
  <c r="P62" i="8"/>
  <c r="K105" i="8"/>
  <c r="R105" i="8" s="1"/>
  <c r="S105" i="8" s="1"/>
  <c r="S151" i="8" s="1"/>
  <c r="P105" i="8"/>
  <c r="J153" i="8"/>
  <c r="P153" i="8" s="1"/>
  <c r="S153" i="8" s="1"/>
  <c r="G155" i="8"/>
  <c r="P20" i="7"/>
  <c r="P60" i="7"/>
  <c r="K22" i="7"/>
  <c r="R22" i="7" s="1"/>
  <c r="S22" i="7" s="1"/>
  <c r="P87" i="7"/>
  <c r="P54" i="7"/>
  <c r="P85" i="7"/>
  <c r="K42" i="7"/>
  <c r="R42" i="7" s="1"/>
  <c r="S42" i="7" s="1"/>
  <c r="P74" i="7"/>
  <c r="P91" i="7"/>
  <c r="K6" i="7"/>
  <c r="R6" i="7" s="1"/>
  <c r="S6" i="7" s="1"/>
  <c r="K24" i="7"/>
  <c r="R24" i="7" s="1"/>
  <c r="S24" i="7" s="1"/>
  <c r="K78" i="7"/>
  <c r="R78" i="7" s="1"/>
  <c r="S78" i="7" s="1"/>
  <c r="P34" i="7"/>
  <c r="P62" i="7"/>
  <c r="P82" i="7"/>
  <c r="K58" i="7"/>
  <c r="R58" i="7" s="1"/>
  <c r="S58" i="7" s="1"/>
  <c r="K69" i="7"/>
  <c r="R69" i="7" s="1"/>
  <c r="S69" i="7" s="1"/>
  <c r="K51" i="7"/>
  <c r="R51" i="7" s="1"/>
  <c r="S51" i="7" s="1"/>
  <c r="P45" i="7"/>
  <c r="P71" i="7"/>
  <c r="K40" i="7"/>
  <c r="R40" i="7" s="1"/>
  <c r="S40" i="7" s="1"/>
  <c r="P40" i="7"/>
  <c r="J120" i="7"/>
  <c r="P18" i="7"/>
  <c r="K27" i="7"/>
  <c r="R27" i="7" s="1"/>
  <c r="S27" i="7" s="1"/>
  <c r="P16" i="7"/>
  <c r="P11" i="7"/>
  <c r="P38" i="7"/>
  <c r="K7" i="7"/>
  <c r="R7" i="7" s="1"/>
  <c r="S7" i="7" s="1"/>
  <c r="P7" i="7"/>
  <c r="K9" i="7"/>
  <c r="R9" i="7" s="1"/>
  <c r="S9" i="7" s="1"/>
  <c r="P9" i="7"/>
  <c r="J122" i="7"/>
  <c r="S60" i="2"/>
  <c r="P60" i="2"/>
  <c r="P62" i="2"/>
  <c r="H64" i="2"/>
  <c r="S62" i="2"/>
  <c r="J64" i="2"/>
  <c r="J66" i="2" s="1"/>
  <c r="E16" i="9" l="1"/>
  <c r="E29" i="9" s="1"/>
  <c r="C26" i="9"/>
  <c r="C30" i="9" s="1"/>
  <c r="C31" i="9" s="1"/>
  <c r="J17" i="9"/>
  <c r="J26" i="9"/>
  <c r="J30" i="9" s="1"/>
  <c r="J31" i="9" s="1"/>
  <c r="N20" i="9"/>
  <c r="N21" i="9" s="1"/>
  <c r="N22" i="9" s="1"/>
  <c r="N26" i="9"/>
  <c r="N30" i="9" s="1"/>
  <c r="N31" i="9" s="1"/>
  <c r="P20" i="9"/>
  <c r="P21" i="9" s="1"/>
  <c r="P26" i="9"/>
  <c r="P30" i="9" s="1"/>
  <c r="P31" i="9" s="1"/>
  <c r="P17" i="9"/>
  <c r="C20" i="9"/>
  <c r="C21" i="9" s="1"/>
  <c r="E21" i="9" s="1"/>
  <c r="C17" i="9"/>
  <c r="T20" i="9"/>
  <c r="T17" i="9"/>
  <c r="N17" i="9"/>
  <c r="V16" i="9"/>
  <c r="P22" i="9"/>
  <c r="O17" i="9"/>
  <c r="O20" i="9"/>
  <c r="Q16" i="9"/>
  <c r="Q29" i="9" s="1"/>
  <c r="J20" i="9"/>
  <c r="I17" i="9"/>
  <c r="I20" i="9"/>
  <c r="S155" i="8"/>
  <c r="P151" i="8"/>
  <c r="P155" i="8" s="1"/>
  <c r="J155" i="8"/>
  <c r="J157" i="8" s="1"/>
  <c r="S120" i="7"/>
  <c r="S122" i="7" s="1"/>
  <c r="P120" i="7"/>
  <c r="J124" i="7"/>
  <c r="J126" i="7" s="1"/>
  <c r="K122" i="7"/>
  <c r="P122" i="7"/>
  <c r="P64" i="2"/>
  <c r="E20" i="9" l="1"/>
  <c r="T21" i="9"/>
  <c r="T22" i="9" s="1"/>
  <c r="V22" i="9" s="1"/>
  <c r="V20" i="9"/>
  <c r="J21" i="9"/>
  <c r="J22" i="9" s="1"/>
  <c r="O21" i="9"/>
  <c r="Q21" i="9" s="1"/>
  <c r="I21" i="9"/>
  <c r="I22" i="9" s="1"/>
  <c r="C22" i="9"/>
  <c r="E22" i="9" s="1"/>
  <c r="Q20" i="9"/>
  <c r="P124" i="7"/>
  <c r="V21" i="9" l="1"/>
  <c r="O22" i="9"/>
  <c r="Q22" i="9" s="1"/>
  <c r="H16" i="9"/>
  <c r="H20" i="9" l="1"/>
  <c r="H21" i="9" s="1"/>
  <c r="K21" i="9" s="1"/>
  <c r="H26" i="9"/>
  <c r="H30" i="9" s="1"/>
  <c r="H31" i="9" s="1"/>
  <c r="H17" i="9"/>
  <c r="K16" i="9"/>
  <c r="K29" i="9" s="1"/>
  <c r="K20" i="9" l="1"/>
  <c r="H22" i="9"/>
  <c r="K22" i="9" s="1"/>
</calcChain>
</file>

<file path=xl/sharedStrings.xml><?xml version="1.0" encoding="utf-8"?>
<sst xmlns="http://schemas.openxmlformats.org/spreadsheetml/2006/main" count="653" uniqueCount="133">
  <si>
    <t>Sr No</t>
  </si>
  <si>
    <t>Weight</t>
  </si>
  <si>
    <t>Name of the Buyer</t>
  </si>
  <si>
    <t>Rate</t>
  </si>
  <si>
    <t>Palai</t>
  </si>
  <si>
    <t>Amount</t>
  </si>
  <si>
    <t>Guddu Bhai</t>
  </si>
  <si>
    <t>Total Amount</t>
  </si>
  <si>
    <t>Azam Kharghar</t>
  </si>
  <si>
    <t>Salman Vikhroli</t>
  </si>
  <si>
    <t>Iqbal Bhai Khar</t>
  </si>
  <si>
    <t>Sajid Bhai Jogeshwari</t>
  </si>
  <si>
    <t>Kashaf Bhai c/o Sarfaraz bhai</t>
  </si>
  <si>
    <t>Mohd Faizaan</t>
  </si>
  <si>
    <t>Salman Akhlak</t>
  </si>
  <si>
    <t>Shahid Shaikh Kurla</t>
  </si>
  <si>
    <t>Saif Bhai Kurla</t>
  </si>
  <si>
    <t>Imtiyaz Bhai sakinaka</t>
  </si>
  <si>
    <t>Faisal Sayyed</t>
  </si>
  <si>
    <t>Nadeem bhai c/o Zain</t>
  </si>
  <si>
    <t>Date of Sale</t>
  </si>
  <si>
    <t>Goat per Kg</t>
  </si>
  <si>
    <t>Goat Cost</t>
  </si>
  <si>
    <t>Transportation</t>
  </si>
  <si>
    <t>Rent</t>
  </si>
  <si>
    <t>Total Cost</t>
  </si>
  <si>
    <t>Transportation cost</t>
  </si>
  <si>
    <t>Total goat</t>
  </si>
  <si>
    <t>Per goat</t>
  </si>
  <si>
    <t>Palai days</t>
  </si>
  <si>
    <t>Palai per day</t>
  </si>
  <si>
    <t>Total Goat</t>
  </si>
  <si>
    <t>Palai per goat</t>
  </si>
  <si>
    <t>Profit</t>
  </si>
  <si>
    <t>Cost per kg</t>
  </si>
  <si>
    <t>Selling Rate</t>
  </si>
  <si>
    <t>Difference</t>
  </si>
  <si>
    <t>Balance</t>
  </si>
  <si>
    <t>Total Palai 90 goats</t>
  </si>
  <si>
    <t>Targer Profit</t>
  </si>
  <si>
    <t>Per goat incl breed</t>
  </si>
  <si>
    <t>Total Sale till date</t>
  </si>
  <si>
    <t>Option2</t>
  </si>
  <si>
    <t>3% weight loss</t>
  </si>
  <si>
    <t xml:space="preserve">Palai average </t>
  </si>
  <si>
    <t>Palai will be added to the sale as per the selling - currently the profit is basis no palai. Any addition to the palai will increase the profit count</t>
  </si>
  <si>
    <t>Aushan Geswat</t>
  </si>
  <si>
    <t>Farooq Kazi</t>
  </si>
  <si>
    <t>IrshadBhai</t>
  </si>
  <si>
    <t>Mujeeb Bhai Dharavi</t>
  </si>
  <si>
    <t>Ashfaq Khan</t>
  </si>
  <si>
    <t>Abdul Bhai PP</t>
  </si>
  <si>
    <t>Cost</t>
  </si>
  <si>
    <t>Total Sale</t>
  </si>
  <si>
    <t>Mohd Faizaan Alaba</t>
  </si>
  <si>
    <t>Alishan Gesawat</t>
  </si>
  <si>
    <t>Farooq Kazi Jogeswhari</t>
  </si>
  <si>
    <t>Irshad bhai Dharavi</t>
  </si>
  <si>
    <t>Mujeeb bhai Dharavi</t>
  </si>
  <si>
    <t>Adil Bhai PP</t>
  </si>
  <si>
    <t>Tausif Mira Road</t>
  </si>
  <si>
    <t>Imran Bhai Mira Road</t>
  </si>
  <si>
    <t>Raahil Shaik</t>
  </si>
  <si>
    <t>Yusuf Mansuri</t>
  </si>
  <si>
    <t>Ahmed Memon</t>
  </si>
  <si>
    <t>Saddam Bhai</t>
  </si>
  <si>
    <t>Adnan Sayed Thane</t>
  </si>
  <si>
    <t>Majid Khan</t>
  </si>
  <si>
    <t>Zubair Maknojia</t>
  </si>
  <si>
    <t>Palai A/c</t>
  </si>
  <si>
    <t>Total Palai</t>
  </si>
  <si>
    <t>Recovered</t>
  </si>
  <si>
    <t>Osama &amp; Junaid</t>
  </si>
  <si>
    <t>Ahmed Hussain</t>
  </si>
  <si>
    <t>Raees &amp; Zain</t>
  </si>
  <si>
    <t>Junaid Shaikh</t>
  </si>
  <si>
    <t>Masood Khan</t>
  </si>
  <si>
    <t>Lot 1</t>
  </si>
  <si>
    <t>Lot 2</t>
  </si>
  <si>
    <t>2 goats deducted from Ferozhai sale</t>
  </si>
  <si>
    <t>No Of Goats</t>
  </si>
  <si>
    <t>total Wgt</t>
  </si>
  <si>
    <t>HKB</t>
  </si>
  <si>
    <t>Jamil</t>
  </si>
  <si>
    <t>Other Exp</t>
  </si>
  <si>
    <t>Toal Cost</t>
  </si>
  <si>
    <t>Rate @home</t>
  </si>
  <si>
    <t>Selling price</t>
  </si>
  <si>
    <t>Cost Rate</t>
  </si>
  <si>
    <t>Weight Patti</t>
  </si>
  <si>
    <t>Gujri</t>
  </si>
  <si>
    <t>Sojat</t>
  </si>
  <si>
    <t>Total</t>
  </si>
  <si>
    <t>Mushtaq Shaikh Sewri</t>
  </si>
  <si>
    <t>Sufiyan Saki Naka</t>
  </si>
  <si>
    <t>Adnan Shaikh</t>
  </si>
  <si>
    <t>Sufiyan Bhai</t>
  </si>
  <si>
    <t>Manaal Ansari</t>
  </si>
  <si>
    <t>Anis Bhai</t>
  </si>
  <si>
    <t>Ahmed Chhapra</t>
  </si>
  <si>
    <t>Akib Bhai</t>
  </si>
  <si>
    <t>Owais Bhai</t>
  </si>
  <si>
    <t>Rizwan Basit</t>
  </si>
  <si>
    <t>Zaheer Bhai</t>
  </si>
  <si>
    <t>Jaabir - Ahmed Maamu</t>
  </si>
  <si>
    <t>Abdul Razak Bhiwandi</t>
  </si>
  <si>
    <t>Badshah Khan</t>
  </si>
  <si>
    <t>Row Labels</t>
  </si>
  <si>
    <t>Grand Total</t>
  </si>
  <si>
    <t>Count of Date of Sale</t>
  </si>
  <si>
    <t>Advance</t>
  </si>
  <si>
    <t>xx</t>
  </si>
  <si>
    <t>osama junaid</t>
  </si>
  <si>
    <t>no goat details</t>
  </si>
  <si>
    <t>Cost % to weight</t>
  </si>
  <si>
    <t>Labour</t>
  </si>
  <si>
    <t xml:space="preserve">other exp </t>
  </si>
  <si>
    <t>Jamil Bhai share</t>
  </si>
  <si>
    <t>Nett Profit</t>
  </si>
  <si>
    <t>Sojat Big</t>
  </si>
  <si>
    <t>Weight loss 6%</t>
  </si>
  <si>
    <t>Average</t>
  </si>
  <si>
    <t>Cost per goat</t>
  </si>
  <si>
    <t>Selling per goat</t>
  </si>
  <si>
    <t>Original Weight</t>
  </si>
  <si>
    <t>Rate per kg</t>
  </si>
  <si>
    <t>Weight loss cost</t>
  </si>
  <si>
    <t>Weight Loss</t>
  </si>
  <si>
    <t>HKB Lawn</t>
  </si>
  <si>
    <t>Other exp</t>
  </si>
  <si>
    <t>Actual Weight %</t>
  </si>
  <si>
    <t xml:space="preserve">Actual Weight </t>
  </si>
  <si>
    <t>Rate per goat p/kg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</si>
</sst>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24009]mmmm\ dd\,\ yyyy;@"/>
    <numFmt numFmtId="166" formatCode="[$-14009]dd\ mmmm\ 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center"/>
    </xf>
    <xf numFmtId="43" fontId="0" fillId="0" borderId="0" xfId="1" applyFont="1" applyAlignment="1"/>
    <xf numFmtId="0" fontId="0" fillId="2" borderId="0" xfId="0" applyFill="1" applyAlignment="1">
      <alignment horizontal="center"/>
    </xf>
    <xf numFmtId="43" fontId="0" fillId="2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1" applyFont="1" applyFill="1" applyAlignment="1">
      <alignment horizontal="center"/>
    </xf>
    <xf numFmtId="0" fontId="0" fillId="4" borderId="0" xfId="0" applyFill="1" applyAlignment="1">
      <alignment horizontal="center"/>
    </xf>
    <xf numFmtId="43" fontId="0" fillId="4" borderId="0" xfId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 vertical="center"/>
    </xf>
    <xf numFmtId="16" fontId="0" fillId="0" borderId="0" xfId="0" applyNumberFormat="1"/>
    <xf numFmtId="164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43" fontId="3" fillId="5" borderId="0" xfId="1" applyFont="1" applyFill="1" applyAlignment="1">
      <alignment horizontal="center"/>
    </xf>
    <xf numFmtId="43" fontId="5" fillId="0" borderId="0" xfId="1" applyFont="1" applyAlignment="1">
      <alignment horizontal="center"/>
    </xf>
    <xf numFmtId="14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43" fontId="0" fillId="0" borderId="0" xfId="1" applyFont="1" applyAlignment="1">
      <alignment horizontal="center" vertical="center" wrapText="1"/>
    </xf>
    <xf numFmtId="43" fontId="0" fillId="6" borderId="0" xfId="1" applyFont="1" applyFill="1" applyAlignment="1">
      <alignment horizontal="center" vertical="center"/>
    </xf>
    <xf numFmtId="43" fontId="0" fillId="0" borderId="1" xfId="1" applyFont="1" applyBorder="1" applyAlignment="1">
      <alignment horizontal="center"/>
    </xf>
    <xf numFmtId="43" fontId="4" fillId="7" borderId="0" xfId="1" applyFont="1" applyFill="1" applyAlignment="1">
      <alignment horizontal="center"/>
    </xf>
    <xf numFmtId="43" fontId="3" fillId="4" borderId="0" xfId="1" applyFont="1" applyFill="1" applyAlignment="1">
      <alignment horizontal="center"/>
    </xf>
    <xf numFmtId="43" fontId="3" fillId="4" borderId="0" xfId="1" applyFont="1" applyFill="1" applyAlignment="1">
      <alignment horizontal="center" vertical="center"/>
    </xf>
    <xf numFmtId="43" fontId="0" fillId="0" borderId="1" xfId="1" applyFont="1" applyBorder="1"/>
    <xf numFmtId="43" fontId="4" fillId="7" borderId="0" xfId="1" applyFont="1" applyFill="1" applyAlignment="1">
      <alignment horizontal="center" vertical="center"/>
    </xf>
    <xf numFmtId="12" fontId="0" fillId="0" borderId="0" xfId="1" applyNumberFormat="1" applyFont="1"/>
    <xf numFmtId="43" fontId="5" fillId="0" borderId="0" xfId="1" applyFont="1" applyAlignment="1">
      <alignment horizontal="center" vertical="center"/>
    </xf>
    <xf numFmtId="43" fontId="6" fillId="8" borderId="0" xfId="1" applyFont="1" applyFill="1" applyAlignment="1">
      <alignment horizontal="center"/>
    </xf>
    <xf numFmtId="43" fontId="6" fillId="8" borderId="0" xfId="1" applyFont="1" applyFill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/>
    </xf>
    <xf numFmtId="0" fontId="0" fillId="2" borderId="0" xfId="0" applyFill="1"/>
    <xf numFmtId="16" fontId="0" fillId="2" borderId="0" xfId="0" applyNumberFormat="1" applyFill="1"/>
    <xf numFmtId="164" fontId="0" fillId="0" borderId="0" xfId="1" applyNumberFormat="1" applyFont="1" applyAlignment="1">
      <alignment vertical="center"/>
    </xf>
    <xf numFmtId="43" fontId="5" fillId="0" borderId="0" xfId="1" applyFont="1"/>
    <xf numFmtId="164" fontId="3" fillId="0" borderId="0" xfId="1" applyNumberFormat="1" applyFont="1" applyAlignment="1">
      <alignment horizontal="center"/>
    </xf>
    <xf numFmtId="43" fontId="0" fillId="0" borderId="2" xfId="1" applyFont="1" applyBorder="1" applyAlignment="1"/>
    <xf numFmtId="43" fontId="0" fillId="0" borderId="7" xfId="1" applyFont="1" applyBorder="1" applyAlignment="1"/>
    <xf numFmtId="164" fontId="0" fillId="0" borderId="8" xfId="1" applyNumberFormat="1" applyFont="1" applyBorder="1" applyAlignment="1">
      <alignment horizontal="center"/>
    </xf>
    <xf numFmtId="43" fontId="0" fillId="0" borderId="0" xfId="1" applyFont="1" applyBorder="1" applyAlignment="1"/>
    <xf numFmtId="43" fontId="0" fillId="0" borderId="9" xfId="1" applyFont="1" applyBorder="1" applyAlignment="1"/>
    <xf numFmtId="0" fontId="0" fillId="10" borderId="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" fontId="0" fillId="10" borderId="3" xfId="1" applyNumberFormat="1" applyFont="1" applyFill="1" applyBorder="1" applyAlignment="1">
      <alignment horizontal="center" vertical="center"/>
    </xf>
    <xf numFmtId="1" fontId="0" fillId="10" borderId="11" xfId="1" applyNumberFormat="1" applyFont="1" applyFill="1" applyBorder="1" applyAlignment="1">
      <alignment horizontal="center" vertical="center"/>
    </xf>
    <xf numFmtId="43" fontId="0" fillId="10" borderId="4" xfId="1" applyFont="1" applyFill="1" applyBorder="1" applyAlignment="1">
      <alignment horizontal="center" vertical="center"/>
    </xf>
    <xf numFmtId="43" fontId="0" fillId="10" borderId="7" xfId="1" applyFont="1" applyFill="1" applyBorder="1" applyAlignment="1">
      <alignment horizontal="center" vertical="center"/>
    </xf>
    <xf numFmtId="43" fontId="0" fillId="10" borderId="6" xfId="1" applyFont="1" applyFill="1" applyBorder="1" applyAlignment="1">
      <alignment horizontal="center" vertical="center"/>
    </xf>
    <xf numFmtId="43" fontId="0" fillId="10" borderId="10" xfId="1" applyFont="1" applyFill="1" applyBorder="1" applyAlignment="1">
      <alignment horizontal="center" vertical="center"/>
    </xf>
    <xf numFmtId="43" fontId="0" fillId="10" borderId="3" xfId="1" applyFont="1" applyFill="1" applyBorder="1" applyAlignment="1">
      <alignment horizontal="center" vertical="center"/>
    </xf>
    <xf numFmtId="43" fontId="0" fillId="10" borderId="11" xfId="1" applyFont="1" applyFill="1" applyBorder="1" applyAlignment="1">
      <alignment horizontal="center" vertical="center"/>
    </xf>
    <xf numFmtId="43" fontId="0" fillId="10" borderId="5" xfId="1" applyFont="1" applyFill="1" applyBorder="1" applyAlignment="1">
      <alignment horizontal="center" vertical="center"/>
    </xf>
    <xf numFmtId="43" fontId="0" fillId="10" borderId="2" xfId="1" applyFont="1" applyFill="1" applyBorder="1" applyAlignment="1">
      <alignment horizontal="center" vertical="center"/>
    </xf>
    <xf numFmtId="43" fontId="0" fillId="5" borderId="5" xfId="1" applyFont="1" applyFill="1" applyBorder="1" applyAlignment="1">
      <alignment horizontal="center" vertical="center"/>
    </xf>
    <xf numFmtId="43" fontId="0" fillId="5" borderId="2" xfId="1" applyFont="1" applyFill="1" applyBorder="1" applyAlignment="1">
      <alignment horizontal="center" vertical="center"/>
    </xf>
    <xf numFmtId="43" fontId="0" fillId="0" borderId="11" xfId="1" applyFont="1" applyBorder="1" applyAlignment="1"/>
    <xf numFmtId="43" fontId="2" fillId="7" borderId="3" xfId="1" applyFont="1" applyFill="1" applyBorder="1" applyAlignment="1">
      <alignment horizontal="center" vertical="center"/>
    </xf>
    <xf numFmtId="43" fontId="2" fillId="7" borderId="11" xfId="1" applyFont="1" applyFill="1" applyBorder="1" applyAlignment="1">
      <alignment horizontal="center" vertical="center"/>
    </xf>
    <xf numFmtId="43" fontId="2" fillId="8" borderId="3" xfId="1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164" fontId="3" fillId="10" borderId="17" xfId="1" applyNumberFormat="1" applyFont="1" applyFill="1" applyBorder="1" applyAlignment="1">
      <alignment horizontal="center" vertical="center"/>
    </xf>
    <xf numFmtId="1" fontId="3" fillId="10" borderId="18" xfId="1" applyNumberFormat="1" applyFont="1" applyFill="1" applyBorder="1" applyAlignment="1">
      <alignment horizontal="center" vertical="center"/>
    </xf>
    <xf numFmtId="43" fontId="3" fillId="10" borderId="21" xfId="1" applyFont="1" applyFill="1" applyBorder="1" applyAlignment="1">
      <alignment horizontal="center" vertical="center"/>
    </xf>
    <xf numFmtId="43" fontId="3" fillId="10" borderId="22" xfId="1" applyFont="1" applyFill="1" applyBorder="1" applyAlignment="1">
      <alignment horizontal="center" vertical="center"/>
    </xf>
    <xf numFmtId="43" fontId="3" fillId="10" borderId="17" xfId="1" applyFont="1" applyFill="1" applyBorder="1" applyAlignment="1">
      <alignment horizontal="center" vertical="center"/>
    </xf>
    <xf numFmtId="43" fontId="3" fillId="10" borderId="18" xfId="1" applyFont="1" applyFill="1" applyBorder="1" applyAlignment="1">
      <alignment horizontal="center" vertical="center"/>
    </xf>
    <xf numFmtId="43" fontId="3" fillId="10" borderId="23" xfId="1" applyFont="1" applyFill="1" applyBorder="1" applyAlignment="1">
      <alignment horizontal="center" vertical="center"/>
    </xf>
    <xf numFmtId="43" fontId="3" fillId="10" borderId="24" xfId="1" applyFont="1" applyFill="1" applyBorder="1" applyAlignment="1">
      <alignment horizontal="center" vertical="center"/>
    </xf>
    <xf numFmtId="43" fontId="3" fillId="10" borderId="19" xfId="1" applyFont="1" applyFill="1" applyBorder="1" applyAlignment="1">
      <alignment horizontal="center" vertical="center"/>
    </xf>
    <xf numFmtId="43" fontId="3" fillId="10" borderId="20" xfId="1" applyFont="1" applyFill="1" applyBorder="1" applyAlignment="1">
      <alignment horizontal="center" vertical="center"/>
    </xf>
    <xf numFmtId="43" fontId="2" fillId="8" borderId="17" xfId="1" applyFont="1" applyFill="1" applyBorder="1" applyAlignment="1">
      <alignment horizontal="center" vertical="center"/>
    </xf>
    <xf numFmtId="43" fontId="2" fillId="8" borderId="18" xfId="1" applyFont="1" applyFill="1" applyBorder="1" applyAlignment="1">
      <alignment horizontal="center" vertical="center"/>
    </xf>
    <xf numFmtId="164" fontId="3" fillId="10" borderId="23" xfId="1" applyNumberFormat="1" applyFont="1" applyFill="1" applyBorder="1" applyAlignment="1">
      <alignment horizontal="center" vertical="center"/>
    </xf>
    <xf numFmtId="164" fontId="3" fillId="5" borderId="19" xfId="1" applyNumberFormat="1" applyFont="1" applyFill="1" applyBorder="1" applyAlignment="1">
      <alignment horizontal="center" vertical="center"/>
    </xf>
    <xf numFmtId="43" fontId="2" fillId="7" borderId="17" xfId="1" applyFont="1" applyFill="1" applyBorder="1" applyAlignment="1">
      <alignment horizontal="center" vertical="center"/>
    </xf>
    <xf numFmtId="43" fontId="2" fillId="7" borderId="18" xfId="1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43" fontId="0" fillId="10" borderId="14" xfId="1" applyFont="1" applyFill="1" applyBorder="1" applyAlignment="1">
      <alignment horizontal="center" vertical="center"/>
    </xf>
    <xf numFmtId="0" fontId="0" fillId="11" borderId="0" xfId="0" applyFill="1"/>
    <xf numFmtId="16" fontId="0" fillId="11" borderId="0" xfId="0" applyNumberFormat="1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43" fontId="0" fillId="11" borderId="0" xfId="1" applyFont="1" applyFill="1" applyAlignment="1">
      <alignment horizontal="center" vertical="center"/>
    </xf>
    <xf numFmtId="43" fontId="0" fillId="11" borderId="0" xfId="1" applyFont="1" applyFill="1" applyAlignment="1">
      <alignment horizontal="center"/>
    </xf>
    <xf numFmtId="43" fontId="0" fillId="11" borderId="0" xfId="0" applyNumberFormat="1" applyFill="1" applyAlignment="1">
      <alignment horizontal="center" vertical="center"/>
    </xf>
    <xf numFmtId="2" fontId="0" fillId="11" borderId="0" xfId="1" applyNumberFormat="1" applyFont="1" applyFill="1" applyAlignment="1">
      <alignment horizontal="center" vertical="center"/>
    </xf>
    <xf numFmtId="43" fontId="0" fillId="11" borderId="0" xfId="1" applyFont="1" applyFill="1"/>
    <xf numFmtId="17" fontId="0" fillId="11" borderId="0" xfId="0" applyNumberFormat="1" applyFill="1"/>
    <xf numFmtId="17" fontId="0" fillId="0" borderId="0" xfId="0" applyNumberFormat="1"/>
    <xf numFmtId="0" fontId="0" fillId="0" borderId="0" xfId="0" pivotButton="1"/>
    <xf numFmtId="16" fontId="0" fillId="0" borderId="0" xfId="0" applyNumberFormat="1" applyAlignment="1">
      <alignment horizontal="left"/>
    </xf>
    <xf numFmtId="0" fontId="0" fillId="3" borderId="0" xfId="0" applyFill="1"/>
    <xf numFmtId="16" fontId="0" fillId="3" borderId="0" xfId="0" applyNumberFormat="1" applyFill="1"/>
    <xf numFmtId="43" fontId="0" fillId="3" borderId="0" xfId="1" applyFont="1" applyFill="1"/>
    <xf numFmtId="9" fontId="0" fillId="10" borderId="5" xfId="2" applyFont="1" applyFill="1" applyBorder="1" applyAlignment="1">
      <alignment horizontal="center" vertical="center"/>
    </xf>
    <xf numFmtId="9" fontId="3" fillId="10" borderId="18" xfId="2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43" fontId="0" fillId="0" borderId="0" xfId="1" applyFont="1" applyAlignment="1">
      <alignment horizontal="center"/>
    </xf>
    <xf numFmtId="43" fontId="0" fillId="3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2" borderId="0" xfId="1" applyFont="1" applyFill="1" applyAlignment="1">
      <alignment horizontal="center"/>
    </xf>
    <xf numFmtId="43" fontId="0" fillId="2" borderId="0" xfId="0" applyNumberFormat="1" applyFill="1" applyAlignment="1">
      <alignment horizontal="center" vertical="center"/>
    </xf>
    <xf numFmtId="43" fontId="2" fillId="7" borderId="6" xfId="1" applyFont="1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43" fontId="2" fillId="7" borderId="23" xfId="1" applyFont="1" applyFill="1" applyBorder="1" applyAlignment="1">
      <alignment horizontal="center" vertical="center"/>
    </xf>
    <xf numFmtId="43" fontId="2" fillId="7" borderId="24" xfId="1" applyFont="1" applyFill="1" applyBorder="1" applyAlignment="1">
      <alignment horizontal="center" vertical="center"/>
    </xf>
    <xf numFmtId="43" fontId="2" fillId="7" borderId="26" xfId="1" applyFont="1" applyFill="1" applyBorder="1" applyAlignment="1">
      <alignment horizontal="center" vertical="center"/>
    </xf>
    <xf numFmtId="43" fontId="2" fillId="7" borderId="27" xfId="1" applyFont="1" applyFill="1" applyBorder="1" applyAlignment="1">
      <alignment horizontal="center" vertical="center"/>
    </xf>
    <xf numFmtId="43" fontId="2" fillId="7" borderId="28" xfId="1" applyFont="1" applyFill="1" applyBorder="1" applyAlignment="1">
      <alignment horizontal="center" vertical="center"/>
    </xf>
    <xf numFmtId="1" fontId="0" fillId="0" borderId="0" xfId="0" applyNumberFormat="1"/>
    <xf numFmtId="43" fontId="2" fillId="7" borderId="0" xfId="1" applyFont="1" applyFill="1" applyBorder="1" applyAlignment="1">
      <alignment horizontal="center" vertical="center"/>
    </xf>
    <xf numFmtId="0" fontId="3" fillId="0" borderId="0" xfId="0" applyFont="1"/>
    <xf numFmtId="43" fontId="3" fillId="0" borderId="0" xfId="1" applyFont="1"/>
    <xf numFmtId="2" fontId="0" fillId="0" borderId="0" xfId="0" applyNumberFormat="1" applyAlignment="1">
      <alignment horizontal="center"/>
    </xf>
    <xf numFmtId="9" fontId="0" fillId="0" borderId="0" xfId="1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mir" refreshedDate="46153.5654818287" createdVersion="8" refreshedVersion="8" minRefreshableVersion="3" recordCount="120" xr:uid="{45949B0F-7814-455F-A07A-0E6D050F194C}">
  <cacheSource type="worksheet">
    <worksheetSource ref="A1:B121" sheet="Sheet10"/>
  </cacheSource>
  <cacheFields count="2">
    <cacheField name="Sr No" numFmtId="0">
      <sharedItems containsSemiMixedTypes="0" containsString="0" containsNumber="1" containsInteger="1" minValue="1" maxValue="120"/>
    </cacheField>
    <cacheField name="Date of Sale" numFmtId="16">
      <sharedItems containsSemiMixedTypes="0" containsNonDate="0" containsDate="1" containsString="0" minDate="2026-04-13T00:00:00" maxDate="2026-05-11T00:00:00" count="16">
        <d v="2026-04-13T00:00:00"/>
        <d v="2026-04-14T00:00:00"/>
        <d v="2026-04-18T00:00:00"/>
        <d v="2026-04-19T00:00:00"/>
        <d v="2026-04-22T00:00:00"/>
        <d v="2026-04-25T00:00:00"/>
        <d v="2026-04-26T00:00:00"/>
        <d v="2026-04-30T00:00:00"/>
        <d v="2026-05-01T00:00:00"/>
        <d v="2026-05-02T00:00:00"/>
        <d v="2026-05-03T00:00:00"/>
        <d v="2026-05-04T00:00:00"/>
        <d v="2026-05-05T00:00:00"/>
        <d v="2026-05-08T00:00:00"/>
        <d v="2026-05-09T00:00:00"/>
        <d v="2026-05-1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x v="0"/>
  </r>
  <r>
    <n v="2"/>
    <x v="1"/>
  </r>
  <r>
    <n v="3"/>
    <x v="1"/>
  </r>
  <r>
    <n v="4"/>
    <x v="2"/>
  </r>
  <r>
    <n v="5"/>
    <x v="2"/>
  </r>
  <r>
    <n v="6"/>
    <x v="2"/>
  </r>
  <r>
    <n v="7"/>
    <x v="2"/>
  </r>
  <r>
    <n v="8"/>
    <x v="2"/>
  </r>
  <r>
    <n v="9"/>
    <x v="2"/>
  </r>
  <r>
    <n v="10"/>
    <x v="2"/>
  </r>
  <r>
    <n v="11"/>
    <x v="2"/>
  </r>
  <r>
    <n v="12"/>
    <x v="2"/>
  </r>
  <r>
    <n v="13"/>
    <x v="2"/>
  </r>
  <r>
    <n v="14"/>
    <x v="2"/>
  </r>
  <r>
    <n v="15"/>
    <x v="3"/>
  </r>
  <r>
    <n v="16"/>
    <x v="3"/>
  </r>
  <r>
    <n v="17"/>
    <x v="3"/>
  </r>
  <r>
    <n v="18"/>
    <x v="3"/>
  </r>
  <r>
    <n v="19"/>
    <x v="3"/>
  </r>
  <r>
    <n v="20"/>
    <x v="3"/>
  </r>
  <r>
    <n v="21"/>
    <x v="3"/>
  </r>
  <r>
    <n v="22"/>
    <x v="3"/>
  </r>
  <r>
    <n v="23"/>
    <x v="3"/>
  </r>
  <r>
    <n v="24"/>
    <x v="3"/>
  </r>
  <r>
    <n v="25"/>
    <x v="3"/>
  </r>
  <r>
    <n v="26"/>
    <x v="3"/>
  </r>
  <r>
    <n v="27"/>
    <x v="3"/>
  </r>
  <r>
    <n v="28"/>
    <x v="3"/>
  </r>
  <r>
    <n v="29"/>
    <x v="3"/>
  </r>
  <r>
    <n v="30"/>
    <x v="3"/>
  </r>
  <r>
    <n v="31"/>
    <x v="3"/>
  </r>
  <r>
    <n v="32"/>
    <x v="3"/>
  </r>
  <r>
    <n v="33"/>
    <x v="3"/>
  </r>
  <r>
    <n v="34"/>
    <x v="3"/>
  </r>
  <r>
    <n v="35"/>
    <x v="3"/>
  </r>
  <r>
    <n v="36"/>
    <x v="3"/>
  </r>
  <r>
    <n v="37"/>
    <x v="4"/>
  </r>
  <r>
    <n v="38"/>
    <x v="4"/>
  </r>
  <r>
    <n v="39"/>
    <x v="4"/>
  </r>
  <r>
    <n v="40"/>
    <x v="5"/>
  </r>
  <r>
    <n v="41"/>
    <x v="5"/>
  </r>
  <r>
    <n v="42"/>
    <x v="5"/>
  </r>
  <r>
    <n v="43"/>
    <x v="5"/>
  </r>
  <r>
    <n v="44"/>
    <x v="5"/>
  </r>
  <r>
    <n v="45"/>
    <x v="6"/>
  </r>
  <r>
    <n v="46"/>
    <x v="6"/>
  </r>
  <r>
    <n v="47"/>
    <x v="6"/>
  </r>
  <r>
    <n v="48"/>
    <x v="6"/>
  </r>
  <r>
    <n v="49"/>
    <x v="6"/>
  </r>
  <r>
    <n v="50"/>
    <x v="6"/>
  </r>
  <r>
    <n v="51"/>
    <x v="6"/>
  </r>
  <r>
    <n v="52"/>
    <x v="6"/>
  </r>
  <r>
    <n v="53"/>
    <x v="6"/>
  </r>
  <r>
    <n v="54"/>
    <x v="6"/>
  </r>
  <r>
    <n v="55"/>
    <x v="7"/>
  </r>
  <r>
    <n v="56"/>
    <x v="7"/>
  </r>
  <r>
    <n v="57"/>
    <x v="7"/>
  </r>
  <r>
    <n v="58"/>
    <x v="7"/>
  </r>
  <r>
    <n v="59"/>
    <x v="7"/>
  </r>
  <r>
    <n v="60"/>
    <x v="7"/>
  </r>
  <r>
    <n v="61"/>
    <x v="7"/>
  </r>
  <r>
    <n v="62"/>
    <x v="7"/>
  </r>
  <r>
    <n v="63"/>
    <x v="8"/>
  </r>
  <r>
    <n v="64"/>
    <x v="8"/>
  </r>
  <r>
    <n v="65"/>
    <x v="8"/>
  </r>
  <r>
    <n v="66"/>
    <x v="8"/>
  </r>
  <r>
    <n v="67"/>
    <x v="8"/>
  </r>
  <r>
    <n v="68"/>
    <x v="8"/>
  </r>
  <r>
    <n v="69"/>
    <x v="8"/>
  </r>
  <r>
    <n v="70"/>
    <x v="8"/>
  </r>
  <r>
    <n v="71"/>
    <x v="8"/>
  </r>
  <r>
    <n v="72"/>
    <x v="8"/>
  </r>
  <r>
    <n v="73"/>
    <x v="9"/>
  </r>
  <r>
    <n v="74"/>
    <x v="9"/>
  </r>
  <r>
    <n v="75"/>
    <x v="9"/>
  </r>
  <r>
    <n v="76"/>
    <x v="9"/>
  </r>
  <r>
    <n v="77"/>
    <x v="10"/>
  </r>
  <r>
    <n v="78"/>
    <x v="10"/>
  </r>
  <r>
    <n v="79"/>
    <x v="10"/>
  </r>
  <r>
    <n v="80"/>
    <x v="11"/>
  </r>
  <r>
    <n v="81"/>
    <x v="10"/>
  </r>
  <r>
    <n v="82"/>
    <x v="10"/>
  </r>
  <r>
    <n v="83"/>
    <x v="10"/>
  </r>
  <r>
    <n v="84"/>
    <x v="10"/>
  </r>
  <r>
    <n v="85"/>
    <x v="10"/>
  </r>
  <r>
    <n v="86"/>
    <x v="10"/>
  </r>
  <r>
    <n v="87"/>
    <x v="10"/>
  </r>
  <r>
    <n v="88"/>
    <x v="10"/>
  </r>
  <r>
    <n v="89"/>
    <x v="10"/>
  </r>
  <r>
    <n v="90"/>
    <x v="10"/>
  </r>
  <r>
    <n v="91"/>
    <x v="10"/>
  </r>
  <r>
    <n v="92"/>
    <x v="10"/>
  </r>
  <r>
    <n v="93"/>
    <x v="10"/>
  </r>
  <r>
    <n v="94"/>
    <x v="11"/>
  </r>
  <r>
    <n v="95"/>
    <x v="11"/>
  </r>
  <r>
    <n v="96"/>
    <x v="12"/>
  </r>
  <r>
    <n v="97"/>
    <x v="12"/>
  </r>
  <r>
    <n v="98"/>
    <x v="12"/>
  </r>
  <r>
    <n v="99"/>
    <x v="12"/>
  </r>
  <r>
    <n v="100"/>
    <x v="12"/>
  </r>
  <r>
    <n v="101"/>
    <x v="12"/>
  </r>
  <r>
    <n v="102"/>
    <x v="12"/>
  </r>
  <r>
    <n v="103"/>
    <x v="13"/>
  </r>
  <r>
    <n v="104"/>
    <x v="13"/>
  </r>
  <r>
    <n v="105"/>
    <x v="13"/>
  </r>
  <r>
    <n v="106"/>
    <x v="13"/>
  </r>
  <r>
    <n v="107"/>
    <x v="13"/>
  </r>
  <r>
    <n v="108"/>
    <x v="13"/>
  </r>
  <r>
    <n v="109"/>
    <x v="14"/>
  </r>
  <r>
    <n v="110"/>
    <x v="14"/>
  </r>
  <r>
    <n v="111"/>
    <x v="14"/>
  </r>
  <r>
    <n v="112"/>
    <x v="14"/>
  </r>
  <r>
    <n v="113"/>
    <x v="14"/>
  </r>
  <r>
    <n v="114"/>
    <x v="15"/>
  </r>
  <r>
    <n v="115"/>
    <x v="15"/>
  </r>
  <r>
    <n v="116"/>
    <x v="15"/>
  </r>
  <r>
    <n v="117"/>
    <x v="15"/>
  </r>
  <r>
    <n v="118"/>
    <x v="15"/>
  </r>
  <r>
    <n v="119"/>
    <x v="15"/>
  </r>
  <r>
    <n v="120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168BD-157E-408D-B34D-C2C0869864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18" firstHeaderRow="1" firstDataRow="1" firstDataCol="1"/>
  <pivotFields count="2">
    <pivotField showAll="0"/>
    <pivotField axis="axisRow" dataField="1" numFmtId="16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Date of Sal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9BC1-7D62-4B76-B266-519995F46BD5}">
  <sheetPr codeName="Sheet8"/>
  <dimension ref="A1:N135"/>
  <sheetViews>
    <sheetView zoomScale="85" zoomScaleNormal="85" workbookViewId="0">
      <pane xSplit="4" ySplit="2" topLeftCell="E102" activePane="bottomRight" state="frozen"/>
      <selection pane="topRight" activeCell="E1" sqref="E1"/>
      <selection pane="bottomLeft" activeCell="A6" sqref="A6"/>
      <selection pane="bottomRight" activeCell="M119" sqref="M119"/>
    </sheetView>
  </sheetViews>
  <sheetFormatPr defaultRowHeight="14.4" x14ac:dyDescent="0.3"/>
  <cols>
    <col min="1" max="1" width="14.77734375" customWidth="1"/>
    <col min="2" max="2" width="12" bestFit="1" customWidth="1"/>
    <col min="3" max="3" width="25" style="2" bestFit="1" customWidth="1"/>
    <col min="4" max="4" width="12.21875" style="2" bestFit="1" customWidth="1"/>
    <col min="5" max="5" width="14.109375" style="15" bestFit="1" customWidth="1"/>
    <col min="6" max="6" width="13.44140625" style="1" bestFit="1" customWidth="1"/>
    <col min="7" max="7" width="12.33203125" style="1" bestFit="1" customWidth="1"/>
    <col min="8" max="10" width="13.44140625" style="1" bestFit="1" customWidth="1"/>
  </cols>
  <sheetData>
    <row r="1" spans="1:10" x14ac:dyDescent="0.3">
      <c r="A1" s="1"/>
      <c r="B1" s="1"/>
      <c r="C1" s="3"/>
      <c r="D1" s="3"/>
    </row>
    <row r="2" spans="1:10" s="4" customFormat="1" x14ac:dyDescent="0.3">
      <c r="A2" s="4" t="s">
        <v>0</v>
      </c>
      <c r="B2" s="4" t="s">
        <v>20</v>
      </c>
      <c r="C2" s="4" t="s">
        <v>2</v>
      </c>
      <c r="D2" s="4" t="s">
        <v>1</v>
      </c>
      <c r="E2" s="34" t="s">
        <v>3</v>
      </c>
      <c r="F2" s="33" t="s">
        <v>5</v>
      </c>
      <c r="G2" s="33" t="s">
        <v>4</v>
      </c>
      <c r="H2" s="33" t="s">
        <v>7</v>
      </c>
      <c r="I2" s="33" t="s">
        <v>110</v>
      </c>
      <c r="J2" s="33" t="s">
        <v>37</v>
      </c>
    </row>
    <row r="3" spans="1:10" x14ac:dyDescent="0.3">
      <c r="A3">
        <v>1</v>
      </c>
      <c r="B3" s="19">
        <v>46125</v>
      </c>
      <c r="C3" s="2" t="s">
        <v>6</v>
      </c>
      <c r="D3" s="2">
        <v>83</v>
      </c>
      <c r="E3" s="15">
        <v>600</v>
      </c>
      <c r="F3" s="1">
        <v>49800</v>
      </c>
      <c r="G3" s="1">
        <v>4000</v>
      </c>
      <c r="H3" s="1">
        <v>53800</v>
      </c>
      <c r="I3" s="1">
        <v>0</v>
      </c>
      <c r="J3" s="1">
        <f>+H3-I3</f>
        <v>53800</v>
      </c>
    </row>
    <row r="4" spans="1:10" s="113" customFormat="1" x14ac:dyDescent="0.3">
      <c r="A4" s="113">
        <v>2</v>
      </c>
      <c r="B4" s="114">
        <v>46126</v>
      </c>
      <c r="C4" s="9" t="s">
        <v>8</v>
      </c>
      <c r="D4" s="125">
        <v>136</v>
      </c>
      <c r="E4" s="121">
        <v>600</v>
      </c>
      <c r="F4" s="121">
        <v>81600</v>
      </c>
      <c r="G4" s="115">
        <v>4000</v>
      </c>
      <c r="H4" s="121">
        <v>89600</v>
      </c>
      <c r="I4" s="121"/>
      <c r="J4" s="121">
        <f>+H4-I4</f>
        <v>89600</v>
      </c>
    </row>
    <row r="5" spans="1:10" s="113" customFormat="1" x14ac:dyDescent="0.3">
      <c r="A5" s="113">
        <v>3</v>
      </c>
      <c r="B5" s="114">
        <v>46126</v>
      </c>
      <c r="C5" s="9" t="s">
        <v>8</v>
      </c>
      <c r="D5" s="125"/>
      <c r="E5" s="121"/>
      <c r="F5" s="121"/>
      <c r="G5" s="115">
        <v>4000</v>
      </c>
      <c r="H5" s="121"/>
      <c r="I5" s="121"/>
      <c r="J5" s="121"/>
    </row>
    <row r="6" spans="1:10" x14ac:dyDescent="0.3">
      <c r="A6">
        <v>4</v>
      </c>
      <c r="B6" s="19">
        <v>46130</v>
      </c>
      <c r="C6" s="2" t="s">
        <v>9</v>
      </c>
      <c r="D6" s="122">
        <v>132</v>
      </c>
      <c r="E6" s="118">
        <v>600</v>
      </c>
      <c r="F6" s="118">
        <v>79200</v>
      </c>
      <c r="G6" s="1">
        <v>3000</v>
      </c>
      <c r="H6" s="118">
        <v>85200</v>
      </c>
      <c r="I6" s="118">
        <v>0</v>
      </c>
      <c r="J6" s="1">
        <f>+H6-I6</f>
        <v>85200</v>
      </c>
    </row>
    <row r="7" spans="1:10" x14ac:dyDescent="0.3">
      <c r="A7">
        <v>5</v>
      </c>
      <c r="B7" s="19">
        <v>46130</v>
      </c>
      <c r="C7" s="2" t="s">
        <v>9</v>
      </c>
      <c r="D7" s="122"/>
      <c r="E7" s="118"/>
      <c r="F7" s="118"/>
      <c r="G7" s="1">
        <v>3000</v>
      </c>
      <c r="H7" s="118"/>
      <c r="I7" s="118"/>
      <c r="J7" s="1">
        <f>+H7-I7</f>
        <v>0</v>
      </c>
    </row>
    <row r="8" spans="1:10" x14ac:dyDescent="0.3">
      <c r="A8">
        <v>6</v>
      </c>
      <c r="B8" s="19">
        <v>46130</v>
      </c>
      <c r="C8" s="2" t="s">
        <v>10</v>
      </c>
      <c r="D8" s="122">
        <v>358</v>
      </c>
      <c r="E8" s="118">
        <v>600</v>
      </c>
      <c r="F8" s="118">
        <v>214800</v>
      </c>
      <c r="G8" s="1">
        <v>3000</v>
      </c>
      <c r="H8" s="118">
        <v>229800</v>
      </c>
      <c r="I8" s="118">
        <v>0</v>
      </c>
      <c r="J8" s="118">
        <f>+H8-I8</f>
        <v>229800</v>
      </c>
    </row>
    <row r="9" spans="1:10" x14ac:dyDescent="0.3">
      <c r="A9">
        <v>7</v>
      </c>
      <c r="B9" s="19">
        <v>46130</v>
      </c>
      <c r="C9" s="2" t="s">
        <v>10</v>
      </c>
      <c r="D9" s="122"/>
      <c r="E9" s="118"/>
      <c r="F9" s="118"/>
      <c r="G9" s="1">
        <v>3000</v>
      </c>
      <c r="H9" s="118"/>
      <c r="I9" s="118"/>
      <c r="J9" s="118"/>
    </row>
    <row r="10" spans="1:10" x14ac:dyDescent="0.3">
      <c r="A10">
        <v>8</v>
      </c>
      <c r="B10" s="19">
        <v>46130</v>
      </c>
      <c r="C10" s="2" t="s">
        <v>10</v>
      </c>
      <c r="D10" s="122"/>
      <c r="E10" s="118"/>
      <c r="F10" s="118"/>
      <c r="G10" s="1">
        <v>3000</v>
      </c>
      <c r="H10" s="118"/>
      <c r="I10" s="118"/>
      <c r="J10" s="118"/>
    </row>
    <row r="11" spans="1:10" x14ac:dyDescent="0.3">
      <c r="A11">
        <v>9</v>
      </c>
      <c r="B11" s="19">
        <v>46130</v>
      </c>
      <c r="C11" s="2" t="s">
        <v>10</v>
      </c>
      <c r="D11" s="122"/>
      <c r="E11" s="118"/>
      <c r="F11" s="118"/>
      <c r="G11" s="1">
        <v>3000</v>
      </c>
      <c r="H11" s="118"/>
      <c r="I11" s="118"/>
      <c r="J11" s="118"/>
    </row>
    <row r="12" spans="1:10" x14ac:dyDescent="0.3">
      <c r="A12">
        <v>10</v>
      </c>
      <c r="B12" s="19">
        <v>46130</v>
      </c>
      <c r="C12" s="2" t="s">
        <v>10</v>
      </c>
      <c r="D12" s="122"/>
      <c r="E12" s="118"/>
      <c r="F12" s="118"/>
      <c r="G12" s="1">
        <v>3000</v>
      </c>
      <c r="H12" s="118"/>
      <c r="I12" s="118"/>
      <c r="J12" s="118"/>
    </row>
    <row r="13" spans="1:10" x14ac:dyDescent="0.3">
      <c r="A13">
        <v>11</v>
      </c>
      <c r="B13" s="19">
        <v>46130</v>
      </c>
      <c r="C13" s="2" t="s">
        <v>11</v>
      </c>
      <c r="D13" s="122">
        <v>144</v>
      </c>
      <c r="E13" s="118">
        <v>600</v>
      </c>
      <c r="F13" s="118">
        <v>86400</v>
      </c>
      <c r="G13" s="1">
        <v>3300</v>
      </c>
      <c r="H13" s="118">
        <v>93000</v>
      </c>
      <c r="I13" s="118">
        <v>0</v>
      </c>
      <c r="J13" s="120">
        <f>+H13-I13</f>
        <v>93000</v>
      </c>
    </row>
    <row r="14" spans="1:10" x14ac:dyDescent="0.3">
      <c r="A14">
        <v>12</v>
      </c>
      <c r="B14" s="19">
        <v>46130</v>
      </c>
      <c r="C14" s="2" t="s">
        <v>11</v>
      </c>
      <c r="D14" s="122"/>
      <c r="E14" s="118"/>
      <c r="F14" s="118"/>
      <c r="G14" s="1">
        <v>3300</v>
      </c>
      <c r="H14" s="118"/>
      <c r="I14" s="118"/>
      <c r="J14" s="120"/>
    </row>
    <row r="15" spans="1:10" x14ac:dyDescent="0.3">
      <c r="A15">
        <v>13</v>
      </c>
      <c r="B15" s="19">
        <v>46130</v>
      </c>
      <c r="C15" s="2" t="s">
        <v>12</v>
      </c>
      <c r="D15" s="122">
        <v>128</v>
      </c>
      <c r="E15" s="118">
        <v>600</v>
      </c>
      <c r="F15" s="118">
        <v>76800</v>
      </c>
      <c r="G15" s="1">
        <v>3300</v>
      </c>
      <c r="H15" s="118">
        <v>83400</v>
      </c>
      <c r="I15" s="118">
        <v>0</v>
      </c>
      <c r="J15" s="118">
        <f>+H15-I15</f>
        <v>83400</v>
      </c>
    </row>
    <row r="16" spans="1:10" x14ac:dyDescent="0.3">
      <c r="A16">
        <v>14</v>
      </c>
      <c r="B16" s="19">
        <v>46130</v>
      </c>
      <c r="C16" s="2" t="s">
        <v>12</v>
      </c>
      <c r="D16" s="122"/>
      <c r="E16" s="118"/>
      <c r="F16" s="118"/>
      <c r="G16" s="1">
        <v>3300</v>
      </c>
      <c r="H16" s="118"/>
      <c r="I16" s="118"/>
      <c r="J16" s="118"/>
    </row>
    <row r="17" spans="1:10" x14ac:dyDescent="0.3">
      <c r="A17">
        <v>15</v>
      </c>
      <c r="B17" s="19">
        <v>46131</v>
      </c>
      <c r="C17" s="2" t="s">
        <v>13</v>
      </c>
      <c r="D17" s="122">
        <v>123</v>
      </c>
      <c r="E17" s="118">
        <v>626.01700000000005</v>
      </c>
      <c r="F17" s="1">
        <v>77000.091</v>
      </c>
      <c r="G17" s="1">
        <v>3500</v>
      </c>
      <c r="H17" s="118">
        <v>84000.091</v>
      </c>
      <c r="I17" s="118"/>
      <c r="J17" s="120">
        <f>+H17-I17</f>
        <v>84000.091</v>
      </c>
    </row>
    <row r="18" spans="1:10" x14ac:dyDescent="0.3">
      <c r="A18">
        <v>16</v>
      </c>
      <c r="B18" s="19">
        <v>46131</v>
      </c>
      <c r="C18" s="2" t="s">
        <v>13</v>
      </c>
      <c r="D18" s="122"/>
      <c r="E18" s="118"/>
      <c r="F18" s="1">
        <v>0</v>
      </c>
      <c r="G18" s="1">
        <v>3500</v>
      </c>
      <c r="H18" s="118"/>
      <c r="I18" s="118"/>
      <c r="J18" s="120"/>
    </row>
    <row r="19" spans="1:10" x14ac:dyDescent="0.3">
      <c r="A19">
        <v>17</v>
      </c>
      <c r="B19" s="19">
        <v>46131</v>
      </c>
      <c r="C19" s="2" t="s">
        <v>14</v>
      </c>
      <c r="D19" s="122">
        <v>115</v>
      </c>
      <c r="E19" s="118">
        <v>600</v>
      </c>
      <c r="F19" s="118">
        <v>69000</v>
      </c>
      <c r="G19" s="1">
        <v>3000</v>
      </c>
      <c r="H19" s="118">
        <v>75000</v>
      </c>
      <c r="I19" s="118">
        <v>70000</v>
      </c>
      <c r="J19" s="120">
        <f>+H19-I19</f>
        <v>5000</v>
      </c>
    </row>
    <row r="20" spans="1:10" x14ac:dyDescent="0.3">
      <c r="A20">
        <v>18</v>
      </c>
      <c r="B20" s="19">
        <v>46131</v>
      </c>
      <c r="C20" s="2" t="s">
        <v>14</v>
      </c>
      <c r="D20" s="122"/>
      <c r="E20" s="118"/>
      <c r="F20" s="118"/>
      <c r="G20" s="1">
        <v>3000</v>
      </c>
      <c r="H20" s="118"/>
      <c r="I20" s="118"/>
      <c r="J20" s="120"/>
    </row>
    <row r="21" spans="1:10" x14ac:dyDescent="0.3">
      <c r="A21">
        <v>19</v>
      </c>
      <c r="B21" s="19">
        <v>46131</v>
      </c>
      <c r="C21" s="2" t="s">
        <v>15</v>
      </c>
      <c r="D21" s="122">
        <v>136</v>
      </c>
      <c r="E21" s="118">
        <v>600</v>
      </c>
      <c r="F21" s="118">
        <v>81600</v>
      </c>
      <c r="G21" s="1">
        <v>3400</v>
      </c>
      <c r="H21" s="118">
        <v>88400</v>
      </c>
      <c r="I21" s="118">
        <v>40000</v>
      </c>
      <c r="J21" s="118">
        <f>+H21-I21</f>
        <v>48400</v>
      </c>
    </row>
    <row r="22" spans="1:10" x14ac:dyDescent="0.3">
      <c r="A22">
        <v>20</v>
      </c>
      <c r="B22" s="19">
        <v>46131</v>
      </c>
      <c r="C22" s="2" t="s">
        <v>15</v>
      </c>
      <c r="D22" s="122"/>
      <c r="E22" s="118"/>
      <c r="F22" s="118"/>
      <c r="G22" s="1">
        <v>3400</v>
      </c>
      <c r="H22" s="118"/>
      <c r="I22" s="118"/>
      <c r="J22" s="118"/>
    </row>
    <row r="23" spans="1:10" x14ac:dyDescent="0.3">
      <c r="A23">
        <v>21</v>
      </c>
      <c r="B23" s="19">
        <v>46131</v>
      </c>
      <c r="C23" s="2" t="s">
        <v>15</v>
      </c>
      <c r="D23" s="14">
        <v>63</v>
      </c>
      <c r="E23" s="15">
        <v>700</v>
      </c>
      <c r="F23" s="15">
        <v>44100</v>
      </c>
      <c r="G23" s="1">
        <v>3400</v>
      </c>
      <c r="H23" s="15">
        <v>47500</v>
      </c>
      <c r="I23" s="15">
        <v>0</v>
      </c>
      <c r="J23" s="1">
        <f>+H23-I23</f>
        <v>47500</v>
      </c>
    </row>
    <row r="24" spans="1:10" x14ac:dyDescent="0.3">
      <c r="A24">
        <v>22</v>
      </c>
      <c r="B24" s="19">
        <v>46131</v>
      </c>
      <c r="C24" s="2" t="s">
        <v>16</v>
      </c>
      <c r="D24" s="122">
        <v>374</v>
      </c>
      <c r="E24" s="118">
        <v>600</v>
      </c>
      <c r="F24" s="118">
        <v>224400</v>
      </c>
      <c r="G24" s="1">
        <v>3000</v>
      </c>
      <c r="H24" s="118">
        <v>242400</v>
      </c>
      <c r="I24" s="118">
        <v>50000</v>
      </c>
      <c r="J24" s="118">
        <f>+H24-I24</f>
        <v>192400</v>
      </c>
    </row>
    <row r="25" spans="1:10" x14ac:dyDescent="0.3">
      <c r="A25">
        <v>23</v>
      </c>
      <c r="B25" s="19">
        <v>46131</v>
      </c>
      <c r="C25" s="2" t="s">
        <v>16</v>
      </c>
      <c r="D25" s="122"/>
      <c r="E25" s="118"/>
      <c r="F25" s="118"/>
      <c r="G25" s="1">
        <v>3000</v>
      </c>
      <c r="H25" s="118"/>
      <c r="I25" s="118"/>
      <c r="J25" s="118"/>
    </row>
    <row r="26" spans="1:10" x14ac:dyDescent="0.3">
      <c r="A26">
        <v>24</v>
      </c>
      <c r="B26" s="19">
        <v>46131</v>
      </c>
      <c r="C26" s="2" t="s">
        <v>16</v>
      </c>
      <c r="D26" s="122"/>
      <c r="E26" s="118"/>
      <c r="F26" s="118"/>
      <c r="G26" s="1">
        <v>3000</v>
      </c>
      <c r="H26" s="118"/>
      <c r="I26" s="118"/>
      <c r="J26" s="118"/>
    </row>
    <row r="27" spans="1:10" x14ac:dyDescent="0.3">
      <c r="A27">
        <v>25</v>
      </c>
      <c r="B27" s="19">
        <v>46131</v>
      </c>
      <c r="C27" s="2" t="s">
        <v>16</v>
      </c>
      <c r="D27" s="122"/>
      <c r="E27" s="118"/>
      <c r="F27" s="118"/>
      <c r="G27" s="1">
        <v>3000</v>
      </c>
      <c r="H27" s="118"/>
      <c r="I27" s="118"/>
      <c r="J27" s="118"/>
    </row>
    <row r="28" spans="1:10" x14ac:dyDescent="0.3">
      <c r="A28">
        <v>26</v>
      </c>
      <c r="B28" s="19">
        <v>46131</v>
      </c>
      <c r="C28" s="2" t="s">
        <v>16</v>
      </c>
      <c r="D28" s="122"/>
      <c r="E28" s="118"/>
      <c r="F28" s="118"/>
      <c r="G28" s="1">
        <v>3000</v>
      </c>
      <c r="H28" s="118"/>
      <c r="I28" s="118"/>
      <c r="J28" s="118"/>
    </row>
    <row r="29" spans="1:10" x14ac:dyDescent="0.3">
      <c r="A29">
        <v>27</v>
      </c>
      <c r="B29" s="19">
        <v>46131</v>
      </c>
      <c r="C29" s="2" t="s">
        <v>16</v>
      </c>
      <c r="D29" s="122"/>
      <c r="E29" s="118"/>
      <c r="F29" s="118"/>
      <c r="G29" s="1">
        <v>3000</v>
      </c>
      <c r="H29" s="118"/>
      <c r="I29" s="118"/>
      <c r="J29" s="118"/>
    </row>
    <row r="30" spans="1:10" x14ac:dyDescent="0.3">
      <c r="A30">
        <v>28</v>
      </c>
      <c r="B30" s="19">
        <v>46131</v>
      </c>
      <c r="C30" s="2" t="s">
        <v>17</v>
      </c>
      <c r="D30" s="2">
        <v>88</v>
      </c>
      <c r="E30" s="15">
        <v>625</v>
      </c>
      <c r="F30" s="1">
        <v>55000</v>
      </c>
      <c r="G30" s="1">
        <v>3500</v>
      </c>
      <c r="H30" s="1">
        <v>58500</v>
      </c>
      <c r="I30" s="1">
        <v>0</v>
      </c>
      <c r="J30" s="1">
        <f>+H30-I30</f>
        <v>58500</v>
      </c>
    </row>
    <row r="31" spans="1:10" x14ac:dyDescent="0.3">
      <c r="A31">
        <v>29</v>
      </c>
      <c r="B31" s="19">
        <v>46131</v>
      </c>
      <c r="C31" s="2" t="s">
        <v>18</v>
      </c>
      <c r="D31" s="122">
        <v>236</v>
      </c>
      <c r="E31" s="118">
        <v>600</v>
      </c>
      <c r="F31" s="118">
        <v>141600</v>
      </c>
      <c r="G31" s="1">
        <v>3500</v>
      </c>
      <c r="H31" s="118">
        <v>155600</v>
      </c>
      <c r="I31" s="118"/>
      <c r="J31" s="118">
        <f>+H31-I31</f>
        <v>155600</v>
      </c>
    </row>
    <row r="32" spans="1:10" x14ac:dyDescent="0.3">
      <c r="A32">
        <v>30</v>
      </c>
      <c r="B32" s="19">
        <v>46131</v>
      </c>
      <c r="C32" s="2" t="s">
        <v>18</v>
      </c>
      <c r="D32" s="122"/>
      <c r="E32" s="118"/>
      <c r="F32" s="118"/>
      <c r="G32" s="1">
        <v>3500</v>
      </c>
      <c r="H32" s="118"/>
      <c r="I32" s="118"/>
      <c r="J32" s="118"/>
    </row>
    <row r="33" spans="1:10" x14ac:dyDescent="0.3">
      <c r="A33">
        <v>31</v>
      </c>
      <c r="B33" s="19">
        <v>46131</v>
      </c>
      <c r="C33" s="2" t="s">
        <v>18</v>
      </c>
      <c r="D33" s="122"/>
      <c r="E33" s="118"/>
      <c r="F33" s="118"/>
      <c r="G33" s="1">
        <v>3500</v>
      </c>
      <c r="H33" s="118"/>
      <c r="I33" s="118"/>
      <c r="J33" s="118"/>
    </row>
    <row r="34" spans="1:10" x14ac:dyDescent="0.3">
      <c r="A34">
        <v>32</v>
      </c>
      <c r="B34" s="19">
        <v>46131</v>
      </c>
      <c r="C34" s="2" t="s">
        <v>18</v>
      </c>
      <c r="D34" s="122"/>
      <c r="E34" s="118"/>
      <c r="F34" s="118"/>
      <c r="G34" s="1">
        <v>3500</v>
      </c>
      <c r="H34" s="118"/>
      <c r="I34" s="118"/>
      <c r="J34" s="118"/>
    </row>
    <row r="35" spans="1:10" x14ac:dyDescent="0.3">
      <c r="A35">
        <v>33</v>
      </c>
      <c r="B35" s="19">
        <v>46131</v>
      </c>
      <c r="C35" s="2" t="s">
        <v>19</v>
      </c>
      <c r="D35" s="122">
        <v>118</v>
      </c>
      <c r="E35" s="118">
        <v>610</v>
      </c>
      <c r="F35" s="118">
        <v>71980</v>
      </c>
      <c r="G35" s="1">
        <v>3000</v>
      </c>
      <c r="H35" s="118">
        <v>77980</v>
      </c>
      <c r="I35" s="118">
        <v>35000</v>
      </c>
      <c r="J35" s="120">
        <f>+H35-I35</f>
        <v>42980</v>
      </c>
    </row>
    <row r="36" spans="1:10" x14ac:dyDescent="0.3">
      <c r="A36">
        <v>34</v>
      </c>
      <c r="B36" s="19">
        <v>46131</v>
      </c>
      <c r="C36" s="2" t="s">
        <v>19</v>
      </c>
      <c r="D36" s="122"/>
      <c r="E36" s="118"/>
      <c r="F36" s="118"/>
      <c r="G36" s="1">
        <v>3000</v>
      </c>
      <c r="H36" s="118"/>
      <c r="I36" s="118"/>
      <c r="J36" s="120"/>
    </row>
    <row r="37" spans="1:10" x14ac:dyDescent="0.3">
      <c r="A37">
        <v>35</v>
      </c>
      <c r="B37" s="19">
        <v>46131</v>
      </c>
      <c r="C37" s="2" t="s">
        <v>54</v>
      </c>
      <c r="D37" s="122">
        <v>123</v>
      </c>
      <c r="E37" s="118">
        <v>626</v>
      </c>
      <c r="F37" s="118">
        <v>76998</v>
      </c>
      <c r="G37" s="1">
        <v>3500</v>
      </c>
      <c r="H37" s="118">
        <v>83998</v>
      </c>
      <c r="I37" s="118">
        <v>0</v>
      </c>
      <c r="J37" s="120">
        <f>+H37-I37</f>
        <v>83998</v>
      </c>
    </row>
    <row r="38" spans="1:10" x14ac:dyDescent="0.3">
      <c r="A38">
        <v>36</v>
      </c>
      <c r="B38" s="19">
        <v>46131</v>
      </c>
      <c r="C38" s="2" t="s">
        <v>54</v>
      </c>
      <c r="D38" s="122"/>
      <c r="E38" s="118"/>
      <c r="F38" s="118"/>
      <c r="G38" s="1">
        <v>3500</v>
      </c>
      <c r="H38" s="118"/>
      <c r="I38" s="118"/>
      <c r="J38" s="120"/>
    </row>
    <row r="39" spans="1:10" x14ac:dyDescent="0.3">
      <c r="A39">
        <v>37</v>
      </c>
      <c r="B39" s="19">
        <v>46134</v>
      </c>
      <c r="C39" s="2" t="s">
        <v>55</v>
      </c>
      <c r="D39" s="122">
        <v>226</v>
      </c>
      <c r="E39" s="118">
        <v>600</v>
      </c>
      <c r="F39" s="118">
        <v>135600</v>
      </c>
      <c r="G39" s="1">
        <v>3000</v>
      </c>
      <c r="H39" s="118">
        <v>144600</v>
      </c>
      <c r="I39" s="118">
        <v>0</v>
      </c>
      <c r="J39" s="118">
        <f>+H39-I39</f>
        <v>144600</v>
      </c>
    </row>
    <row r="40" spans="1:10" x14ac:dyDescent="0.3">
      <c r="A40">
        <v>38</v>
      </c>
      <c r="B40" s="19">
        <v>46134</v>
      </c>
      <c r="C40" s="2" t="s">
        <v>55</v>
      </c>
      <c r="D40" s="122"/>
      <c r="E40" s="118"/>
      <c r="F40" s="118"/>
      <c r="G40" s="1">
        <v>3000</v>
      </c>
      <c r="H40" s="118"/>
      <c r="I40" s="118"/>
      <c r="J40" s="118"/>
    </row>
    <row r="41" spans="1:10" x14ac:dyDescent="0.3">
      <c r="A41">
        <v>39</v>
      </c>
      <c r="B41" s="19">
        <v>46134</v>
      </c>
      <c r="C41" s="2" t="s">
        <v>55</v>
      </c>
      <c r="D41" s="122"/>
      <c r="E41" s="118"/>
      <c r="F41" s="118"/>
      <c r="G41" s="1">
        <v>3000</v>
      </c>
      <c r="H41" s="118"/>
      <c r="I41" s="118"/>
      <c r="J41" s="118"/>
    </row>
    <row r="42" spans="1:10" x14ac:dyDescent="0.3">
      <c r="A42">
        <v>40</v>
      </c>
      <c r="B42" s="19">
        <v>46137</v>
      </c>
      <c r="C42" s="2" t="s">
        <v>56</v>
      </c>
      <c r="D42" s="122">
        <v>377</v>
      </c>
      <c r="E42" s="118">
        <v>588.86</v>
      </c>
      <c r="F42" s="118">
        <v>222000.22</v>
      </c>
      <c r="G42" s="1">
        <v>2400</v>
      </c>
      <c r="H42" s="118">
        <v>234000.22</v>
      </c>
      <c r="I42" s="118">
        <v>50000</v>
      </c>
      <c r="J42" s="118">
        <f>+H42-I42</f>
        <v>184000.22</v>
      </c>
    </row>
    <row r="43" spans="1:10" x14ac:dyDescent="0.3">
      <c r="A43">
        <v>41</v>
      </c>
      <c r="B43" s="19">
        <v>46137</v>
      </c>
      <c r="C43" s="2" t="s">
        <v>56</v>
      </c>
      <c r="D43" s="122"/>
      <c r="E43" s="118"/>
      <c r="F43" s="118"/>
      <c r="G43" s="1">
        <v>2400</v>
      </c>
      <c r="H43" s="118"/>
      <c r="I43" s="118"/>
      <c r="J43" s="118"/>
    </row>
    <row r="44" spans="1:10" x14ac:dyDescent="0.3">
      <c r="A44">
        <v>42</v>
      </c>
      <c r="B44" s="19">
        <v>46137</v>
      </c>
      <c r="C44" s="2" t="s">
        <v>56</v>
      </c>
      <c r="D44" s="122"/>
      <c r="E44" s="118"/>
      <c r="F44" s="118"/>
      <c r="G44" s="1">
        <v>2400</v>
      </c>
      <c r="H44" s="118"/>
      <c r="I44" s="118"/>
      <c r="J44" s="118"/>
    </row>
    <row r="45" spans="1:10" x14ac:dyDescent="0.3">
      <c r="A45">
        <v>43</v>
      </c>
      <c r="B45" s="19">
        <v>46137</v>
      </c>
      <c r="C45" s="2" t="s">
        <v>56</v>
      </c>
      <c r="D45" s="122"/>
      <c r="E45" s="118"/>
      <c r="F45" s="118"/>
      <c r="G45" s="1">
        <v>2400</v>
      </c>
      <c r="H45" s="118"/>
      <c r="I45" s="118"/>
      <c r="J45" s="118"/>
    </row>
    <row r="46" spans="1:10" x14ac:dyDescent="0.3">
      <c r="A46">
        <v>44</v>
      </c>
      <c r="B46" s="19">
        <v>46137</v>
      </c>
      <c r="C46" s="2" t="s">
        <v>56</v>
      </c>
      <c r="D46" s="122"/>
      <c r="E46" s="118"/>
      <c r="F46" s="118"/>
      <c r="G46" s="1">
        <v>2400</v>
      </c>
      <c r="H46" s="118"/>
      <c r="I46" s="118"/>
      <c r="J46" s="118"/>
    </row>
    <row r="47" spans="1:10" x14ac:dyDescent="0.3">
      <c r="A47">
        <v>45</v>
      </c>
      <c r="B47" s="19">
        <v>46138</v>
      </c>
      <c r="C47" s="2" t="s">
        <v>57</v>
      </c>
      <c r="D47" s="14">
        <v>79</v>
      </c>
      <c r="E47" s="15">
        <v>595</v>
      </c>
      <c r="F47" s="15">
        <v>47005</v>
      </c>
      <c r="G47" s="1">
        <v>2000</v>
      </c>
      <c r="H47" s="15">
        <v>49005</v>
      </c>
      <c r="I47" s="15">
        <v>25000</v>
      </c>
      <c r="J47" s="1">
        <f>+H47-I47</f>
        <v>24005</v>
      </c>
    </row>
    <row r="48" spans="1:10" x14ac:dyDescent="0.3">
      <c r="A48">
        <v>46</v>
      </c>
      <c r="B48" s="19">
        <v>46138</v>
      </c>
      <c r="C48" s="2" t="s">
        <v>58</v>
      </c>
      <c r="D48" s="122">
        <v>208</v>
      </c>
      <c r="E48" s="118">
        <v>580</v>
      </c>
      <c r="F48" s="118">
        <v>120640</v>
      </c>
      <c r="G48" s="1">
        <v>2700</v>
      </c>
      <c r="H48" s="118">
        <f>+F48+SUM(G48:G50)</f>
        <v>128740</v>
      </c>
      <c r="I48" s="118">
        <v>50000</v>
      </c>
      <c r="J48" s="118">
        <f>+H48-I48</f>
        <v>78740</v>
      </c>
    </row>
    <row r="49" spans="1:14" x14ac:dyDescent="0.3">
      <c r="A49">
        <v>47</v>
      </c>
      <c r="B49" s="19">
        <v>46138</v>
      </c>
      <c r="C49" s="2" t="s">
        <v>58</v>
      </c>
      <c r="D49" s="122"/>
      <c r="E49" s="118"/>
      <c r="F49" s="118"/>
      <c r="G49" s="1">
        <v>2700</v>
      </c>
      <c r="H49" s="118"/>
      <c r="I49" s="118"/>
      <c r="J49" s="118"/>
    </row>
    <row r="50" spans="1:14" x14ac:dyDescent="0.3">
      <c r="A50">
        <v>48</v>
      </c>
      <c r="B50" s="19">
        <v>46138</v>
      </c>
      <c r="C50" s="2" t="s">
        <v>58</v>
      </c>
      <c r="D50" s="122"/>
      <c r="E50" s="118"/>
      <c r="F50" s="118"/>
      <c r="G50" s="1">
        <v>2700</v>
      </c>
      <c r="H50" s="118"/>
      <c r="I50" s="118"/>
      <c r="J50" s="118"/>
    </row>
    <row r="51" spans="1:14" x14ac:dyDescent="0.3">
      <c r="A51">
        <v>49</v>
      </c>
      <c r="B51" s="19">
        <v>46138</v>
      </c>
      <c r="C51" s="2" t="s">
        <v>50</v>
      </c>
      <c r="D51" s="122">
        <v>276</v>
      </c>
      <c r="E51" s="118">
        <v>590</v>
      </c>
      <c r="F51" s="118">
        <v>162840</v>
      </c>
      <c r="G51" s="1">
        <v>2875</v>
      </c>
      <c r="H51" s="118">
        <v>174340</v>
      </c>
      <c r="I51" s="118">
        <v>50000</v>
      </c>
      <c r="J51" s="118">
        <f>+H51-I51</f>
        <v>124340</v>
      </c>
    </row>
    <row r="52" spans="1:14" x14ac:dyDescent="0.3">
      <c r="A52">
        <v>50</v>
      </c>
      <c r="B52" s="19">
        <v>46138</v>
      </c>
      <c r="C52" s="2" t="s">
        <v>50</v>
      </c>
      <c r="D52" s="122"/>
      <c r="E52" s="118"/>
      <c r="F52" s="118"/>
      <c r="G52" s="1">
        <v>2875</v>
      </c>
      <c r="H52" s="118"/>
      <c r="I52" s="118"/>
      <c r="J52" s="118"/>
    </row>
    <row r="53" spans="1:14" x14ac:dyDescent="0.3">
      <c r="A53">
        <v>51</v>
      </c>
      <c r="B53" s="19">
        <v>46138</v>
      </c>
      <c r="C53" s="2" t="s">
        <v>50</v>
      </c>
      <c r="D53" s="122"/>
      <c r="E53" s="118"/>
      <c r="F53" s="118"/>
      <c r="G53" s="1">
        <v>2875</v>
      </c>
      <c r="H53" s="118"/>
      <c r="I53" s="118"/>
      <c r="J53" s="118"/>
    </row>
    <row r="54" spans="1:14" x14ac:dyDescent="0.3">
      <c r="A54">
        <v>52</v>
      </c>
      <c r="B54" s="19">
        <v>46138</v>
      </c>
      <c r="C54" s="2" t="s">
        <v>50</v>
      </c>
      <c r="D54" s="122"/>
      <c r="E54" s="118"/>
      <c r="F54" s="118"/>
      <c r="G54" s="1">
        <v>2875</v>
      </c>
      <c r="H54" s="118"/>
      <c r="I54" s="118"/>
      <c r="J54" s="118"/>
    </row>
    <row r="55" spans="1:14" x14ac:dyDescent="0.3">
      <c r="A55" s="43">
        <v>53</v>
      </c>
      <c r="B55" s="44">
        <v>46138</v>
      </c>
      <c r="C55" s="7" t="s">
        <v>59</v>
      </c>
      <c r="D55" s="124">
        <v>131.5</v>
      </c>
      <c r="E55" s="119">
        <v>577.95000000000005</v>
      </c>
      <c r="F55" s="119">
        <v>76000.425000000003</v>
      </c>
      <c r="G55" s="1">
        <v>3000</v>
      </c>
      <c r="H55" s="119">
        <v>82000.425000000003</v>
      </c>
      <c r="I55" s="119"/>
      <c r="J55" s="118">
        <f>+H55-I55</f>
        <v>82000.425000000003</v>
      </c>
    </row>
    <row r="56" spans="1:14" x14ac:dyDescent="0.3">
      <c r="A56" s="43">
        <v>54</v>
      </c>
      <c r="B56" s="44">
        <v>46138</v>
      </c>
      <c r="C56" s="7" t="s">
        <v>59</v>
      </c>
      <c r="D56" s="124"/>
      <c r="E56" s="119"/>
      <c r="F56" s="119"/>
      <c r="G56" s="1">
        <v>3000</v>
      </c>
      <c r="H56" s="119"/>
      <c r="I56" s="119"/>
      <c r="J56" s="118"/>
    </row>
    <row r="57" spans="1:14" x14ac:dyDescent="0.3">
      <c r="A57">
        <v>55</v>
      </c>
      <c r="B57" s="19">
        <v>46142</v>
      </c>
      <c r="C57" s="2" t="s">
        <v>60</v>
      </c>
      <c r="D57" s="122">
        <v>177.5</v>
      </c>
      <c r="E57" s="118">
        <v>580.28169014084506</v>
      </c>
      <c r="F57" s="118">
        <v>103000</v>
      </c>
      <c r="G57" s="1">
        <v>1500</v>
      </c>
      <c r="H57" s="118">
        <v>106000</v>
      </c>
      <c r="I57" s="118">
        <v>50000</v>
      </c>
      <c r="J57" s="118">
        <f>+H57-I57</f>
        <v>56000</v>
      </c>
    </row>
    <row r="58" spans="1:14" x14ac:dyDescent="0.3">
      <c r="A58">
        <v>56</v>
      </c>
      <c r="B58" s="19">
        <v>46142</v>
      </c>
      <c r="C58" s="2" t="s">
        <v>60</v>
      </c>
      <c r="D58" s="122"/>
      <c r="E58" s="118"/>
      <c r="F58" s="118"/>
      <c r="G58" s="1">
        <v>1500</v>
      </c>
      <c r="H58" s="118"/>
      <c r="I58" s="118"/>
      <c r="J58" s="118"/>
    </row>
    <row r="59" spans="1:14" x14ac:dyDescent="0.3">
      <c r="A59">
        <v>57</v>
      </c>
      <c r="B59" s="19">
        <v>46142</v>
      </c>
      <c r="C59" s="2" t="s">
        <v>61</v>
      </c>
      <c r="D59" s="122">
        <v>460</v>
      </c>
      <c r="E59" s="118">
        <v>625</v>
      </c>
      <c r="F59" s="118">
        <v>287500</v>
      </c>
      <c r="G59" s="1">
        <v>2200</v>
      </c>
      <c r="H59" s="118">
        <v>300700</v>
      </c>
      <c r="I59" s="118">
        <v>0</v>
      </c>
      <c r="J59" s="118">
        <f>+H59-I59</f>
        <v>300700</v>
      </c>
    </row>
    <row r="60" spans="1:14" x14ac:dyDescent="0.3">
      <c r="A60">
        <v>58</v>
      </c>
      <c r="B60" s="19">
        <v>46142</v>
      </c>
      <c r="C60" s="2" t="s">
        <v>61</v>
      </c>
      <c r="D60" s="122"/>
      <c r="E60" s="118"/>
      <c r="F60" s="118"/>
      <c r="G60" s="1">
        <v>2200</v>
      </c>
      <c r="H60" s="118"/>
      <c r="I60" s="118"/>
      <c r="J60" s="118"/>
    </row>
    <row r="61" spans="1:14" x14ac:dyDescent="0.3">
      <c r="A61">
        <v>59</v>
      </c>
      <c r="B61" s="19">
        <v>46142</v>
      </c>
      <c r="C61" s="2" t="s">
        <v>61</v>
      </c>
      <c r="D61" s="122"/>
      <c r="E61" s="118"/>
      <c r="F61" s="118"/>
      <c r="G61" s="1">
        <v>2200</v>
      </c>
      <c r="H61" s="118"/>
      <c r="I61" s="118"/>
      <c r="J61" s="118"/>
      <c r="M61" t="s">
        <v>112</v>
      </c>
      <c r="N61" s="19">
        <v>46145</v>
      </c>
    </row>
    <row r="62" spans="1:14" x14ac:dyDescent="0.3">
      <c r="A62">
        <v>60</v>
      </c>
      <c r="B62" s="19">
        <v>46142</v>
      </c>
      <c r="C62" s="2" t="s">
        <v>61</v>
      </c>
      <c r="D62" s="122"/>
      <c r="E62" s="118"/>
      <c r="F62" s="118"/>
      <c r="G62" s="1">
        <v>2200</v>
      </c>
      <c r="H62" s="118"/>
      <c r="I62" s="118"/>
      <c r="J62" s="118"/>
    </row>
    <row r="63" spans="1:14" x14ac:dyDescent="0.3">
      <c r="A63">
        <v>61</v>
      </c>
      <c r="B63" s="19">
        <v>46142</v>
      </c>
      <c r="C63" s="2" t="s">
        <v>61</v>
      </c>
      <c r="D63" s="122"/>
      <c r="E63" s="118"/>
      <c r="F63" s="118"/>
      <c r="G63" s="1">
        <v>2200</v>
      </c>
      <c r="H63" s="118"/>
      <c r="I63" s="118"/>
      <c r="J63" s="118"/>
    </row>
    <row r="64" spans="1:14" x14ac:dyDescent="0.3">
      <c r="A64">
        <v>62</v>
      </c>
      <c r="B64" s="19">
        <v>46142</v>
      </c>
      <c r="C64" s="2" t="s">
        <v>61</v>
      </c>
      <c r="D64" s="122"/>
      <c r="E64" s="118"/>
      <c r="F64" s="118"/>
      <c r="G64" s="1">
        <v>2200</v>
      </c>
      <c r="H64" s="118"/>
      <c r="I64" s="118"/>
      <c r="J64" s="118"/>
    </row>
    <row r="65" spans="1:11" x14ac:dyDescent="0.3">
      <c r="A65">
        <v>63</v>
      </c>
      <c r="B65" s="19">
        <v>46143</v>
      </c>
      <c r="C65" s="2" t="s">
        <v>62</v>
      </c>
      <c r="D65" s="14">
        <v>71</v>
      </c>
      <c r="E65" s="15">
        <v>591.54929577464793</v>
      </c>
      <c r="F65" s="15">
        <v>42600</v>
      </c>
      <c r="G65" s="1">
        <v>2400</v>
      </c>
      <c r="H65" s="15">
        <f>+F65+G65</f>
        <v>45000</v>
      </c>
      <c r="I65" s="15"/>
      <c r="J65" s="1">
        <f>+H65-I65</f>
        <v>45000</v>
      </c>
    </row>
    <row r="66" spans="1:11" x14ac:dyDescent="0.3">
      <c r="A66">
        <v>64</v>
      </c>
      <c r="B66" s="19">
        <v>46143</v>
      </c>
      <c r="C66" s="2" t="s">
        <v>63</v>
      </c>
      <c r="D66" s="122">
        <v>150</v>
      </c>
      <c r="E66" s="118">
        <v>600</v>
      </c>
      <c r="F66" s="118">
        <v>90000</v>
      </c>
      <c r="G66" s="1">
        <v>2400</v>
      </c>
      <c r="H66" s="118">
        <v>94800</v>
      </c>
      <c r="I66" s="118"/>
      <c r="J66" s="118">
        <f>+H66-I66</f>
        <v>94800</v>
      </c>
    </row>
    <row r="67" spans="1:11" x14ac:dyDescent="0.3">
      <c r="A67">
        <v>65</v>
      </c>
      <c r="B67" s="19">
        <v>46143</v>
      </c>
      <c r="C67" s="2" t="s">
        <v>63</v>
      </c>
      <c r="D67" s="122"/>
      <c r="E67" s="118"/>
      <c r="F67" s="118"/>
      <c r="G67" s="1">
        <v>2400</v>
      </c>
      <c r="H67" s="118"/>
      <c r="I67" s="118"/>
      <c r="J67" s="118"/>
      <c r="K67" t="s">
        <v>111</v>
      </c>
    </row>
    <row r="68" spans="1:11" x14ac:dyDescent="0.3">
      <c r="A68">
        <v>66</v>
      </c>
      <c r="B68" s="19">
        <v>46143</v>
      </c>
      <c r="C68" s="2" t="s">
        <v>64</v>
      </c>
      <c r="D68" s="122">
        <v>202</v>
      </c>
      <c r="E68" s="118">
        <v>580</v>
      </c>
      <c r="F68" s="118">
        <v>117160</v>
      </c>
      <c r="G68" s="1">
        <v>2400</v>
      </c>
      <c r="H68" s="118">
        <v>124360</v>
      </c>
      <c r="I68" s="118">
        <v>80000</v>
      </c>
      <c r="J68" s="118">
        <f>+H68-I68</f>
        <v>44360</v>
      </c>
    </row>
    <row r="69" spans="1:11" x14ac:dyDescent="0.3">
      <c r="A69">
        <v>67</v>
      </c>
      <c r="B69" s="19">
        <v>46143</v>
      </c>
      <c r="C69" s="2" t="s">
        <v>64</v>
      </c>
      <c r="D69" s="122"/>
      <c r="E69" s="118"/>
      <c r="F69" s="118"/>
      <c r="G69" s="1">
        <v>2400</v>
      </c>
      <c r="H69" s="118"/>
      <c r="I69" s="118"/>
      <c r="J69" s="118"/>
    </row>
    <row r="70" spans="1:11" x14ac:dyDescent="0.3">
      <c r="A70">
        <v>68</v>
      </c>
      <c r="B70" s="19">
        <v>46143</v>
      </c>
      <c r="C70" s="2" t="s">
        <v>64</v>
      </c>
      <c r="D70" s="122"/>
      <c r="E70" s="118"/>
      <c r="F70" s="118"/>
      <c r="G70" s="1">
        <v>2400</v>
      </c>
      <c r="H70" s="118"/>
      <c r="I70" s="118"/>
      <c r="J70" s="118"/>
    </row>
    <row r="71" spans="1:11" x14ac:dyDescent="0.3">
      <c r="A71">
        <v>69</v>
      </c>
      <c r="B71" s="19">
        <v>46143</v>
      </c>
      <c r="C71" s="2" t="s">
        <v>59</v>
      </c>
      <c r="D71" s="122">
        <v>282.5</v>
      </c>
      <c r="E71" s="118">
        <v>600</v>
      </c>
      <c r="F71" s="118">
        <v>169500</v>
      </c>
      <c r="G71" s="1">
        <v>2000</v>
      </c>
      <c r="H71" s="118">
        <v>177500</v>
      </c>
      <c r="I71" s="118"/>
      <c r="J71" s="118">
        <f>+H71-I71</f>
        <v>177500</v>
      </c>
    </row>
    <row r="72" spans="1:11" x14ac:dyDescent="0.3">
      <c r="A72">
        <v>70</v>
      </c>
      <c r="B72" s="19">
        <v>46143</v>
      </c>
      <c r="C72" s="2" t="s">
        <v>59</v>
      </c>
      <c r="D72" s="122"/>
      <c r="E72" s="118"/>
      <c r="F72" s="118"/>
      <c r="G72" s="1">
        <v>2000</v>
      </c>
      <c r="H72" s="118"/>
      <c r="I72" s="118"/>
      <c r="J72" s="118"/>
    </row>
    <row r="73" spans="1:11" x14ac:dyDescent="0.3">
      <c r="A73">
        <v>71</v>
      </c>
      <c r="B73" s="19">
        <v>46143</v>
      </c>
      <c r="C73" s="2" t="s">
        <v>59</v>
      </c>
      <c r="D73" s="122"/>
      <c r="E73" s="118"/>
      <c r="F73" s="118"/>
      <c r="G73" s="1">
        <v>2000</v>
      </c>
      <c r="H73" s="118"/>
      <c r="I73" s="118"/>
      <c r="J73" s="118"/>
    </row>
    <row r="74" spans="1:11" x14ac:dyDescent="0.3">
      <c r="A74">
        <v>72</v>
      </c>
      <c r="B74" s="19">
        <v>46143</v>
      </c>
      <c r="C74" s="2" t="s">
        <v>59</v>
      </c>
      <c r="D74" s="122"/>
      <c r="E74" s="118"/>
      <c r="F74" s="118"/>
      <c r="G74" s="1">
        <v>2000</v>
      </c>
      <c r="H74" s="118"/>
      <c r="I74" s="118"/>
      <c r="J74" s="118"/>
    </row>
    <row r="75" spans="1:11" x14ac:dyDescent="0.3">
      <c r="A75">
        <v>73</v>
      </c>
      <c r="B75" s="19">
        <v>46144</v>
      </c>
      <c r="C75" s="2" t="s">
        <v>65</v>
      </c>
      <c r="D75" s="122">
        <v>134</v>
      </c>
      <c r="E75" s="118">
        <v>614.92999999999995</v>
      </c>
      <c r="F75" s="118">
        <v>82400.62</v>
      </c>
      <c r="G75" s="1">
        <v>1800</v>
      </c>
      <c r="H75" s="118">
        <v>86000.62</v>
      </c>
      <c r="I75" s="118">
        <v>35000</v>
      </c>
      <c r="J75" s="118">
        <f>+H75-I75</f>
        <v>51000.619999999995</v>
      </c>
    </row>
    <row r="76" spans="1:11" x14ac:dyDescent="0.3">
      <c r="A76">
        <v>74</v>
      </c>
      <c r="B76" s="19">
        <v>46144</v>
      </c>
      <c r="C76" s="2" t="s">
        <v>65</v>
      </c>
      <c r="D76" s="122"/>
      <c r="E76" s="118"/>
      <c r="F76" s="118"/>
      <c r="G76" s="1">
        <v>1800</v>
      </c>
      <c r="H76" s="118"/>
      <c r="I76" s="118"/>
      <c r="J76" s="118"/>
    </row>
    <row r="77" spans="1:11" x14ac:dyDescent="0.3">
      <c r="A77">
        <v>75</v>
      </c>
      <c r="B77" s="19">
        <v>46144</v>
      </c>
      <c r="C77" s="2" t="s">
        <v>66</v>
      </c>
      <c r="D77" s="14">
        <v>76</v>
      </c>
      <c r="E77" s="15">
        <v>600</v>
      </c>
      <c r="F77" s="15">
        <v>45600</v>
      </c>
      <c r="G77" s="1">
        <v>2100</v>
      </c>
      <c r="H77" s="15">
        <v>47700</v>
      </c>
      <c r="I77" s="15">
        <v>47700</v>
      </c>
      <c r="J77" s="1">
        <f>+H77-I77</f>
        <v>0</v>
      </c>
    </row>
    <row r="78" spans="1:11" x14ac:dyDescent="0.3">
      <c r="A78">
        <v>76</v>
      </c>
      <c r="B78" s="19">
        <v>46144</v>
      </c>
      <c r="C78" s="2" t="s">
        <v>67</v>
      </c>
      <c r="D78" s="14">
        <v>95</v>
      </c>
      <c r="E78" s="15">
        <v>615.79</v>
      </c>
      <c r="F78" s="15">
        <v>58500.049999999996</v>
      </c>
      <c r="G78" s="1">
        <v>2100</v>
      </c>
      <c r="H78" s="15">
        <v>60600.049999999996</v>
      </c>
      <c r="I78" s="15">
        <v>0</v>
      </c>
      <c r="J78" s="1">
        <f>+H78-I78</f>
        <v>60600.049999999996</v>
      </c>
    </row>
    <row r="79" spans="1:11" x14ac:dyDescent="0.3">
      <c r="A79">
        <v>77</v>
      </c>
      <c r="B79" s="19">
        <v>46145</v>
      </c>
      <c r="C79" s="2" t="s">
        <v>68</v>
      </c>
      <c r="D79" s="122">
        <v>240</v>
      </c>
      <c r="E79" s="118">
        <v>580</v>
      </c>
      <c r="F79" s="118">
        <v>139200</v>
      </c>
      <c r="G79" s="1">
        <v>2100</v>
      </c>
      <c r="H79" s="118">
        <v>145300</v>
      </c>
      <c r="I79" s="118">
        <v>140000</v>
      </c>
      <c r="J79" s="118">
        <f>+H79-I79</f>
        <v>5300</v>
      </c>
    </row>
    <row r="80" spans="1:11" x14ac:dyDescent="0.3">
      <c r="A80">
        <v>78</v>
      </c>
      <c r="B80" s="19">
        <v>46145</v>
      </c>
      <c r="C80" s="2" t="s">
        <v>68</v>
      </c>
      <c r="D80" s="122"/>
      <c r="E80" s="118"/>
      <c r="F80" s="118"/>
      <c r="G80" s="1">
        <v>2000</v>
      </c>
      <c r="H80" s="118"/>
      <c r="I80" s="118"/>
      <c r="J80" s="118"/>
    </row>
    <row r="81" spans="1:10" x14ac:dyDescent="0.3">
      <c r="A81">
        <v>79</v>
      </c>
      <c r="B81" s="19">
        <v>46145</v>
      </c>
      <c r="C81" s="2" t="s">
        <v>68</v>
      </c>
      <c r="D81" s="122"/>
      <c r="E81" s="118"/>
      <c r="F81" s="118"/>
      <c r="G81" s="1">
        <v>2000</v>
      </c>
      <c r="H81" s="118"/>
      <c r="I81" s="118"/>
      <c r="J81" s="118"/>
    </row>
    <row r="82" spans="1:10" s="100" customFormat="1" x14ac:dyDescent="0.3">
      <c r="A82">
        <v>80</v>
      </c>
      <c r="B82" s="101">
        <v>46146</v>
      </c>
      <c r="C82" s="2" t="s">
        <v>68</v>
      </c>
      <c r="D82" s="103">
        <v>88</v>
      </c>
      <c r="E82" s="107">
        <v>590.91</v>
      </c>
      <c r="F82" s="104">
        <v>52000.079999999994</v>
      </c>
      <c r="G82" s="108">
        <v>2000</v>
      </c>
      <c r="H82" s="104">
        <v>54000.079999999994</v>
      </c>
      <c r="I82" s="104"/>
      <c r="J82" s="1">
        <f>+H82-I82</f>
        <v>54000.079999999994</v>
      </c>
    </row>
    <row r="83" spans="1:10" x14ac:dyDescent="0.3">
      <c r="A83">
        <v>81</v>
      </c>
      <c r="B83" s="19">
        <v>46145</v>
      </c>
      <c r="C83" s="2" t="s">
        <v>72</v>
      </c>
      <c r="D83" s="122">
        <v>140.5</v>
      </c>
      <c r="E83" s="123">
        <v>679.72</v>
      </c>
      <c r="F83" s="118">
        <v>95500.66</v>
      </c>
      <c r="G83" s="1">
        <v>1500</v>
      </c>
      <c r="H83" s="118">
        <v>98500.66</v>
      </c>
      <c r="I83" s="118">
        <v>50000</v>
      </c>
      <c r="J83" s="118">
        <f>+H83-I83</f>
        <v>48500.66</v>
      </c>
    </row>
    <row r="84" spans="1:10" x14ac:dyDescent="0.3">
      <c r="A84">
        <v>82</v>
      </c>
      <c r="B84" s="19">
        <v>46145</v>
      </c>
      <c r="C84" s="2" t="s">
        <v>72</v>
      </c>
      <c r="D84" s="122"/>
      <c r="E84" s="123"/>
      <c r="F84" s="118"/>
      <c r="G84" s="1">
        <v>1500</v>
      </c>
      <c r="H84" s="118"/>
      <c r="I84" s="118"/>
      <c r="J84" s="118"/>
    </row>
    <row r="85" spans="1:10" x14ac:dyDescent="0.3">
      <c r="A85">
        <v>83</v>
      </c>
      <c r="B85" s="19">
        <v>46145</v>
      </c>
      <c r="C85" s="2" t="s">
        <v>73</v>
      </c>
      <c r="D85" s="122">
        <v>333.5</v>
      </c>
      <c r="E85" s="123">
        <v>585</v>
      </c>
      <c r="F85" s="118">
        <v>195097.5</v>
      </c>
      <c r="G85" s="1">
        <v>2400</v>
      </c>
      <c r="H85" s="118">
        <v>204697.5</v>
      </c>
      <c r="I85" s="118">
        <v>20000</v>
      </c>
      <c r="J85" s="118">
        <f>+H85-I85</f>
        <v>184697.5</v>
      </c>
    </row>
    <row r="86" spans="1:10" x14ac:dyDescent="0.3">
      <c r="A86">
        <v>84</v>
      </c>
      <c r="B86" s="19">
        <v>46145</v>
      </c>
      <c r="C86" s="2" t="s">
        <v>73</v>
      </c>
      <c r="D86" s="122"/>
      <c r="E86" s="123"/>
      <c r="F86" s="118"/>
      <c r="G86" s="1">
        <v>2400</v>
      </c>
      <c r="H86" s="118"/>
      <c r="I86" s="118"/>
      <c r="J86" s="118"/>
    </row>
    <row r="87" spans="1:10" x14ac:dyDescent="0.3">
      <c r="A87">
        <v>85</v>
      </c>
      <c r="B87" s="19">
        <v>46145</v>
      </c>
      <c r="C87" s="2" t="s">
        <v>73</v>
      </c>
      <c r="D87" s="122"/>
      <c r="E87" s="123"/>
      <c r="F87" s="118"/>
      <c r="G87" s="1">
        <v>2400</v>
      </c>
      <c r="H87" s="118"/>
      <c r="I87" s="118"/>
      <c r="J87" s="118"/>
    </row>
    <row r="88" spans="1:10" x14ac:dyDescent="0.3">
      <c r="A88">
        <v>86</v>
      </c>
      <c r="B88" s="19">
        <v>46145</v>
      </c>
      <c r="C88" s="2" t="s">
        <v>73</v>
      </c>
      <c r="D88" s="122"/>
      <c r="E88" s="123"/>
      <c r="F88" s="118"/>
      <c r="G88" s="1">
        <v>2400</v>
      </c>
      <c r="H88" s="118"/>
      <c r="I88" s="118"/>
      <c r="J88" s="118"/>
    </row>
    <row r="89" spans="1:10" x14ac:dyDescent="0.3">
      <c r="A89">
        <v>87</v>
      </c>
      <c r="B89" s="19">
        <v>46145</v>
      </c>
      <c r="C89" s="2" t="s">
        <v>74</v>
      </c>
      <c r="D89" s="122">
        <v>231</v>
      </c>
      <c r="E89" s="123">
        <v>585</v>
      </c>
      <c r="F89" s="118">
        <v>135135</v>
      </c>
      <c r="G89" s="1">
        <v>2400</v>
      </c>
      <c r="H89" s="118">
        <v>142335</v>
      </c>
      <c r="I89" s="118">
        <v>100000</v>
      </c>
      <c r="J89" s="118">
        <f>+H89-I89</f>
        <v>42335</v>
      </c>
    </row>
    <row r="90" spans="1:10" x14ac:dyDescent="0.3">
      <c r="A90">
        <v>88</v>
      </c>
      <c r="B90" s="19">
        <v>46145</v>
      </c>
      <c r="C90" s="2" t="s">
        <v>74</v>
      </c>
      <c r="D90" s="122"/>
      <c r="E90" s="123"/>
      <c r="F90" s="118"/>
      <c r="G90" s="1">
        <v>2400</v>
      </c>
      <c r="H90" s="118"/>
      <c r="I90" s="118"/>
      <c r="J90" s="118"/>
    </row>
    <row r="91" spans="1:10" x14ac:dyDescent="0.3">
      <c r="A91">
        <v>89</v>
      </c>
      <c r="B91" s="19">
        <v>46145</v>
      </c>
      <c r="C91" s="2" t="s">
        <v>74</v>
      </c>
      <c r="D91" s="122"/>
      <c r="E91" s="123"/>
      <c r="F91" s="118"/>
      <c r="G91" s="1">
        <v>2400</v>
      </c>
      <c r="H91" s="118"/>
      <c r="I91" s="118"/>
      <c r="J91" s="118"/>
    </row>
    <row r="92" spans="1:10" x14ac:dyDescent="0.3">
      <c r="A92">
        <v>90</v>
      </c>
      <c r="B92" s="19">
        <v>46145</v>
      </c>
      <c r="C92" s="2" t="s">
        <v>75</v>
      </c>
      <c r="D92" s="122">
        <v>225</v>
      </c>
      <c r="E92" s="123">
        <v>591.11111111111109</v>
      </c>
      <c r="F92" s="118">
        <v>133000</v>
      </c>
      <c r="G92" s="1">
        <v>2400</v>
      </c>
      <c r="H92" s="118">
        <v>140200</v>
      </c>
      <c r="I92" s="118">
        <v>50000</v>
      </c>
      <c r="J92" s="118">
        <f>+H92-I92</f>
        <v>90200</v>
      </c>
    </row>
    <row r="93" spans="1:10" x14ac:dyDescent="0.3">
      <c r="A93">
        <v>91</v>
      </c>
      <c r="B93" s="19">
        <v>46145</v>
      </c>
      <c r="C93" s="2" t="s">
        <v>75</v>
      </c>
      <c r="D93" s="122"/>
      <c r="E93" s="123"/>
      <c r="F93" s="118"/>
      <c r="G93" s="1">
        <v>2400</v>
      </c>
      <c r="H93" s="118"/>
      <c r="I93" s="118"/>
      <c r="J93" s="118"/>
    </row>
    <row r="94" spans="1:10" x14ac:dyDescent="0.3">
      <c r="A94">
        <v>92</v>
      </c>
      <c r="B94" s="19">
        <v>46145</v>
      </c>
      <c r="C94" s="2" t="s">
        <v>75</v>
      </c>
      <c r="D94" s="122"/>
      <c r="E94" s="123"/>
      <c r="F94" s="118"/>
      <c r="G94" s="1">
        <v>2400</v>
      </c>
      <c r="H94" s="118"/>
      <c r="I94" s="118"/>
      <c r="J94" s="118"/>
    </row>
    <row r="95" spans="1:10" x14ac:dyDescent="0.3">
      <c r="A95">
        <v>93</v>
      </c>
      <c r="B95" s="19">
        <v>46145</v>
      </c>
      <c r="C95" s="2" t="s">
        <v>76</v>
      </c>
      <c r="D95" s="14">
        <v>69</v>
      </c>
      <c r="E95" s="41">
        <v>594.20289855072463</v>
      </c>
      <c r="F95" s="15">
        <v>41000</v>
      </c>
      <c r="G95" s="1">
        <v>2400</v>
      </c>
      <c r="H95" s="15">
        <v>43400</v>
      </c>
      <c r="I95" s="15">
        <v>20000</v>
      </c>
      <c r="J95" s="1">
        <f>+H95-I95</f>
        <v>23400</v>
      </c>
    </row>
    <row r="96" spans="1:10" x14ac:dyDescent="0.3">
      <c r="A96">
        <v>94</v>
      </c>
      <c r="B96" s="19">
        <v>46146</v>
      </c>
      <c r="C96" s="2" t="s">
        <v>106</v>
      </c>
      <c r="D96" s="14">
        <v>80</v>
      </c>
      <c r="E96" s="41">
        <v>590</v>
      </c>
      <c r="F96" s="15">
        <v>47200</v>
      </c>
      <c r="G96" s="1">
        <v>2160</v>
      </c>
      <c r="H96" s="15">
        <v>49360</v>
      </c>
      <c r="I96" s="15">
        <v>5000</v>
      </c>
      <c r="J96" s="1">
        <f>+H96-I96</f>
        <v>44360</v>
      </c>
    </row>
    <row r="97" spans="1:11" x14ac:dyDescent="0.3">
      <c r="A97">
        <v>95</v>
      </c>
      <c r="B97" s="19">
        <v>46146</v>
      </c>
      <c r="C97" s="2" t="s">
        <v>93</v>
      </c>
      <c r="D97" s="14">
        <v>93</v>
      </c>
      <c r="E97" s="41">
        <v>602.15099999999995</v>
      </c>
      <c r="F97" s="15">
        <v>56000.042999999998</v>
      </c>
      <c r="G97" s="1">
        <v>1200</v>
      </c>
      <c r="H97" s="15">
        <v>57200.042999999998</v>
      </c>
      <c r="I97" s="15">
        <v>25000</v>
      </c>
      <c r="J97" s="1">
        <f>+H97-I97</f>
        <v>32200.042999999998</v>
      </c>
    </row>
    <row r="98" spans="1:11" x14ac:dyDescent="0.3">
      <c r="A98">
        <v>96</v>
      </c>
      <c r="B98" s="19">
        <v>46147</v>
      </c>
      <c r="C98" s="2" t="s">
        <v>94</v>
      </c>
      <c r="D98" s="122">
        <v>295</v>
      </c>
      <c r="E98" s="123">
        <v>576.61016949152543</v>
      </c>
      <c r="F98" s="118">
        <v>170100</v>
      </c>
      <c r="G98" s="1">
        <v>1680</v>
      </c>
      <c r="H98" s="118">
        <v>176820</v>
      </c>
      <c r="I98" s="118">
        <v>10000</v>
      </c>
      <c r="J98" s="118">
        <f>+H98-I98</f>
        <v>166820</v>
      </c>
    </row>
    <row r="99" spans="1:11" x14ac:dyDescent="0.3">
      <c r="A99">
        <v>97</v>
      </c>
      <c r="B99" s="19">
        <v>46147</v>
      </c>
      <c r="C99" s="2" t="s">
        <v>94</v>
      </c>
      <c r="D99" s="122"/>
      <c r="E99" s="123"/>
      <c r="F99" s="118"/>
      <c r="G99" s="1">
        <v>1680</v>
      </c>
      <c r="H99" s="118"/>
      <c r="I99" s="118"/>
      <c r="J99" s="118"/>
    </row>
    <row r="100" spans="1:11" x14ac:dyDescent="0.3">
      <c r="A100">
        <v>98</v>
      </c>
      <c r="B100" s="19">
        <v>46147</v>
      </c>
      <c r="C100" s="2" t="s">
        <v>94</v>
      </c>
      <c r="D100" s="122"/>
      <c r="E100" s="123"/>
      <c r="F100" s="118"/>
      <c r="G100" s="1">
        <v>1680</v>
      </c>
      <c r="H100" s="118"/>
      <c r="I100" s="118"/>
      <c r="J100" s="118"/>
    </row>
    <row r="101" spans="1:11" x14ac:dyDescent="0.3">
      <c r="A101">
        <v>99</v>
      </c>
      <c r="B101" s="19">
        <v>46147</v>
      </c>
      <c r="C101" s="2" t="s">
        <v>94</v>
      </c>
      <c r="D101" s="122"/>
      <c r="E101" s="123"/>
      <c r="F101" s="118"/>
      <c r="G101" s="1">
        <v>1680</v>
      </c>
      <c r="H101" s="118"/>
      <c r="I101" s="118"/>
      <c r="J101" s="118"/>
    </row>
    <row r="102" spans="1:11" x14ac:dyDescent="0.3">
      <c r="A102">
        <v>100</v>
      </c>
      <c r="B102" s="19">
        <v>46147</v>
      </c>
      <c r="C102" s="2" t="s">
        <v>95</v>
      </c>
      <c r="D102" s="122">
        <v>212</v>
      </c>
      <c r="E102" s="123">
        <v>585</v>
      </c>
      <c r="F102" s="118">
        <v>124020</v>
      </c>
      <c r="G102" s="1">
        <v>2400</v>
      </c>
      <c r="H102" s="118">
        <v>131220</v>
      </c>
      <c r="I102" s="118">
        <v>0</v>
      </c>
      <c r="J102" s="118">
        <f>+H102-I102</f>
        <v>131220</v>
      </c>
    </row>
    <row r="103" spans="1:11" x14ac:dyDescent="0.3">
      <c r="A103">
        <v>101</v>
      </c>
      <c r="B103" s="19">
        <v>46147</v>
      </c>
      <c r="C103" s="2" t="s">
        <v>95</v>
      </c>
      <c r="D103" s="122"/>
      <c r="E103" s="123"/>
      <c r="F103" s="118"/>
      <c r="G103" s="1">
        <v>2400</v>
      </c>
      <c r="H103" s="118"/>
      <c r="I103" s="118"/>
      <c r="J103" s="118"/>
    </row>
    <row r="104" spans="1:11" x14ac:dyDescent="0.3">
      <c r="A104">
        <v>102</v>
      </c>
      <c r="B104" s="19">
        <v>46147</v>
      </c>
      <c r="C104" s="2" t="s">
        <v>95</v>
      </c>
      <c r="D104" s="122"/>
      <c r="E104" s="123"/>
      <c r="F104" s="118"/>
      <c r="G104" s="1">
        <v>2400</v>
      </c>
      <c r="H104" s="118"/>
      <c r="I104" s="118"/>
      <c r="J104" s="118"/>
    </row>
    <row r="105" spans="1:11" x14ac:dyDescent="0.3">
      <c r="A105">
        <v>103</v>
      </c>
      <c r="B105" s="19">
        <v>46150</v>
      </c>
      <c r="C105" s="2" t="s">
        <v>96</v>
      </c>
      <c r="D105" s="14"/>
      <c r="E105" s="41"/>
      <c r="F105" s="15"/>
      <c r="H105" s="15">
        <v>53000</v>
      </c>
      <c r="I105" s="15">
        <v>53000</v>
      </c>
      <c r="J105" s="1">
        <f>+H105-I105</f>
        <v>0</v>
      </c>
      <c r="K105" t="s">
        <v>113</v>
      </c>
    </row>
    <row r="106" spans="1:11" x14ac:dyDescent="0.3">
      <c r="A106">
        <v>104</v>
      </c>
      <c r="B106" s="19">
        <v>46150</v>
      </c>
      <c r="C106" s="2" t="s">
        <v>97</v>
      </c>
      <c r="D106" s="122">
        <v>216.5</v>
      </c>
      <c r="E106" s="123">
        <v>595.84295612009237</v>
      </c>
      <c r="F106" s="118">
        <v>129000</v>
      </c>
      <c r="G106" s="1">
        <v>1440</v>
      </c>
      <c r="H106" s="118">
        <v>133320</v>
      </c>
      <c r="I106" s="118">
        <v>50000</v>
      </c>
      <c r="J106" s="118">
        <f>+H106-I106</f>
        <v>83320</v>
      </c>
    </row>
    <row r="107" spans="1:11" x14ac:dyDescent="0.3">
      <c r="A107">
        <v>105</v>
      </c>
      <c r="B107" s="19">
        <v>46150</v>
      </c>
      <c r="C107" s="2" t="s">
        <v>97</v>
      </c>
      <c r="D107" s="122"/>
      <c r="E107" s="123"/>
      <c r="F107" s="118"/>
      <c r="G107" s="1">
        <v>1440</v>
      </c>
      <c r="H107" s="118"/>
      <c r="I107" s="118"/>
      <c r="J107" s="118"/>
    </row>
    <row r="108" spans="1:11" x14ac:dyDescent="0.3">
      <c r="A108">
        <v>106</v>
      </c>
      <c r="B108" s="19">
        <v>46150</v>
      </c>
      <c r="C108" s="2" t="s">
        <v>97</v>
      </c>
      <c r="D108" s="122"/>
      <c r="E108" s="123"/>
      <c r="F108" s="118"/>
      <c r="G108" s="1">
        <v>1440</v>
      </c>
      <c r="H108" s="118"/>
      <c r="I108" s="118"/>
      <c r="J108" s="118"/>
    </row>
    <row r="109" spans="1:11" x14ac:dyDescent="0.3">
      <c r="A109">
        <v>107</v>
      </c>
      <c r="B109" s="19">
        <v>46150</v>
      </c>
      <c r="C109" s="2" t="s">
        <v>98</v>
      </c>
      <c r="D109" s="122">
        <v>136</v>
      </c>
      <c r="E109" s="123">
        <v>600</v>
      </c>
      <c r="F109" s="118">
        <v>81600</v>
      </c>
      <c r="G109" s="1">
        <v>1680</v>
      </c>
      <c r="H109" s="118">
        <v>84960</v>
      </c>
      <c r="I109" s="118">
        <v>0</v>
      </c>
      <c r="J109" s="118">
        <f>+H109-I109</f>
        <v>84960</v>
      </c>
    </row>
    <row r="110" spans="1:11" x14ac:dyDescent="0.3">
      <c r="A110">
        <v>108</v>
      </c>
      <c r="B110" s="19">
        <v>46150</v>
      </c>
      <c r="C110" s="2" t="s">
        <v>98</v>
      </c>
      <c r="D110" s="122"/>
      <c r="E110" s="123"/>
      <c r="F110" s="118"/>
      <c r="G110" s="1">
        <v>1680</v>
      </c>
      <c r="H110" s="118"/>
      <c r="I110" s="118"/>
      <c r="J110" s="118"/>
    </row>
    <row r="111" spans="1:11" x14ac:dyDescent="0.3">
      <c r="A111">
        <v>109</v>
      </c>
      <c r="B111" s="19">
        <v>46151</v>
      </c>
      <c r="C111" s="2" t="s">
        <v>99</v>
      </c>
      <c r="D111" s="122">
        <v>200.5</v>
      </c>
      <c r="E111" s="123">
        <v>600</v>
      </c>
      <c r="F111" s="118">
        <v>120300</v>
      </c>
      <c r="G111" s="1">
        <v>1560</v>
      </c>
      <c r="H111" s="118">
        <v>124980</v>
      </c>
      <c r="I111" s="118">
        <v>0</v>
      </c>
      <c r="J111" s="118">
        <f>+H111-I111</f>
        <v>124980</v>
      </c>
    </row>
    <row r="112" spans="1:11" x14ac:dyDescent="0.3">
      <c r="A112">
        <v>110</v>
      </c>
      <c r="B112" s="19">
        <v>46151</v>
      </c>
      <c r="C112" s="2" t="s">
        <v>99</v>
      </c>
      <c r="D112" s="122"/>
      <c r="E112" s="123"/>
      <c r="F112" s="118"/>
      <c r="G112" s="1">
        <v>1560</v>
      </c>
      <c r="H112" s="118"/>
      <c r="I112" s="118"/>
      <c r="J112" s="118"/>
    </row>
    <row r="113" spans="1:14" x14ac:dyDescent="0.3">
      <c r="A113">
        <v>111</v>
      </c>
      <c r="B113" s="19">
        <v>46151</v>
      </c>
      <c r="C113" s="2" t="s">
        <v>99</v>
      </c>
      <c r="D113" s="122"/>
      <c r="E113" s="123"/>
      <c r="F113" s="118"/>
      <c r="G113" s="1">
        <v>1560</v>
      </c>
      <c r="H113" s="118"/>
      <c r="I113" s="118"/>
      <c r="J113" s="118"/>
    </row>
    <row r="114" spans="1:14" x14ac:dyDescent="0.3">
      <c r="A114">
        <v>112</v>
      </c>
      <c r="B114" s="19">
        <v>46151</v>
      </c>
      <c r="C114" s="2" t="s">
        <v>100</v>
      </c>
      <c r="D114" s="14">
        <v>59</v>
      </c>
      <c r="E114" s="41">
        <v>575</v>
      </c>
      <c r="F114" s="15">
        <v>33925</v>
      </c>
      <c r="G114" s="1">
        <v>1440</v>
      </c>
      <c r="H114" s="15">
        <v>35365</v>
      </c>
      <c r="I114" s="15">
        <v>0</v>
      </c>
      <c r="J114" s="1">
        <f>+H114-I114</f>
        <v>35365</v>
      </c>
    </row>
    <row r="115" spans="1:14" x14ac:dyDescent="0.3">
      <c r="A115">
        <v>113</v>
      </c>
      <c r="B115" s="19">
        <v>46151</v>
      </c>
      <c r="C115" s="2" t="s">
        <v>101</v>
      </c>
      <c r="D115" s="14">
        <v>80</v>
      </c>
      <c r="E115" s="41">
        <v>585</v>
      </c>
      <c r="F115" s="15">
        <v>46800</v>
      </c>
      <c r="G115" s="1">
        <v>1680</v>
      </c>
      <c r="H115" s="15">
        <v>48480</v>
      </c>
      <c r="I115" s="15">
        <v>15000</v>
      </c>
      <c r="J115" s="1">
        <f>+H115-I115</f>
        <v>33480</v>
      </c>
    </row>
    <row r="116" spans="1:14" x14ac:dyDescent="0.3">
      <c r="A116">
        <v>114</v>
      </c>
      <c r="B116" s="19">
        <v>46152</v>
      </c>
      <c r="C116" s="2" t="s">
        <v>102</v>
      </c>
      <c r="D116" s="14">
        <v>78</v>
      </c>
      <c r="E116" s="41">
        <v>576.92307692307691</v>
      </c>
      <c r="F116" s="15">
        <v>45000</v>
      </c>
      <c r="G116" s="1">
        <v>700</v>
      </c>
      <c r="H116" s="15">
        <v>45700</v>
      </c>
      <c r="I116" s="15">
        <v>0</v>
      </c>
      <c r="J116" s="1">
        <f>+H116-I116</f>
        <v>45700</v>
      </c>
    </row>
    <row r="117" spans="1:14" x14ac:dyDescent="0.3">
      <c r="A117">
        <v>115</v>
      </c>
      <c r="B117" s="19">
        <v>46152</v>
      </c>
      <c r="C117" s="2" t="s">
        <v>103</v>
      </c>
      <c r="D117" s="122">
        <v>135</v>
      </c>
      <c r="E117" s="123">
        <v>562.96296296296293</v>
      </c>
      <c r="F117" s="118">
        <v>76000</v>
      </c>
      <c r="G117" s="1">
        <v>1320</v>
      </c>
      <c r="H117" s="118">
        <v>78640</v>
      </c>
      <c r="I117" s="118">
        <v>76000</v>
      </c>
      <c r="J117" s="118">
        <f>+H117-I117</f>
        <v>2640</v>
      </c>
    </row>
    <row r="118" spans="1:14" x14ac:dyDescent="0.3">
      <c r="A118">
        <v>116</v>
      </c>
      <c r="B118" s="19">
        <v>46152</v>
      </c>
      <c r="C118" s="2" t="s">
        <v>103</v>
      </c>
      <c r="D118" s="122"/>
      <c r="E118" s="123"/>
      <c r="F118" s="118"/>
      <c r="G118" s="1">
        <v>1320</v>
      </c>
      <c r="H118" s="118"/>
      <c r="I118" s="118"/>
      <c r="J118" s="118"/>
    </row>
    <row r="119" spans="1:14" x14ac:dyDescent="0.3">
      <c r="A119">
        <v>117</v>
      </c>
      <c r="B119" s="19">
        <v>46152</v>
      </c>
      <c r="C119" s="2" t="s">
        <v>104</v>
      </c>
      <c r="D119" s="122">
        <v>135</v>
      </c>
      <c r="E119" s="123">
        <v>600</v>
      </c>
      <c r="F119" s="118">
        <v>81000</v>
      </c>
      <c r="G119" s="6">
        <v>1250</v>
      </c>
      <c r="H119" s="118">
        <v>83500</v>
      </c>
      <c r="I119" s="118">
        <v>70000</v>
      </c>
      <c r="J119" s="118">
        <f>+H119-I119</f>
        <v>13500</v>
      </c>
    </row>
    <row r="120" spans="1:14" x14ac:dyDescent="0.3">
      <c r="A120">
        <v>118</v>
      </c>
      <c r="B120" s="19">
        <v>46152</v>
      </c>
      <c r="C120" s="2" t="s">
        <v>104</v>
      </c>
      <c r="D120" s="122"/>
      <c r="E120" s="123"/>
      <c r="F120" s="118"/>
      <c r="G120" s="6">
        <v>1250</v>
      </c>
      <c r="H120" s="118"/>
      <c r="I120" s="118"/>
      <c r="J120" s="118"/>
    </row>
    <row r="121" spans="1:14" x14ac:dyDescent="0.3">
      <c r="A121">
        <v>119</v>
      </c>
      <c r="B121" s="19">
        <v>46152</v>
      </c>
      <c r="C121" s="2" t="s">
        <v>105</v>
      </c>
      <c r="D121" s="122">
        <v>164</v>
      </c>
      <c r="E121" s="123">
        <v>580</v>
      </c>
      <c r="F121" s="118">
        <v>95120</v>
      </c>
      <c r="G121" s="1">
        <v>1200</v>
      </c>
      <c r="H121" s="118">
        <v>97520</v>
      </c>
      <c r="I121" s="118">
        <v>50000</v>
      </c>
      <c r="J121" s="118">
        <f>+H121-I121</f>
        <v>47520</v>
      </c>
    </row>
    <row r="122" spans="1:14" x14ac:dyDescent="0.3">
      <c r="A122">
        <v>120</v>
      </c>
      <c r="B122" s="19">
        <v>46152</v>
      </c>
      <c r="C122" s="2" t="s">
        <v>105</v>
      </c>
      <c r="D122" s="122"/>
      <c r="E122" s="123"/>
      <c r="F122" s="118"/>
      <c r="G122" s="1">
        <v>1200</v>
      </c>
      <c r="H122" s="118"/>
      <c r="I122" s="118"/>
      <c r="J122" s="118"/>
    </row>
    <row r="123" spans="1:14" x14ac:dyDescent="0.3">
      <c r="B123" s="19"/>
      <c r="D123" s="14"/>
      <c r="E123" s="41"/>
      <c r="F123" s="15"/>
      <c r="H123" s="15"/>
      <c r="I123" s="15"/>
      <c r="J123" s="15"/>
    </row>
    <row r="124" spans="1:14" x14ac:dyDescent="0.3">
      <c r="B124" s="19"/>
      <c r="D124" s="14"/>
      <c r="E124" s="41"/>
      <c r="F124" s="15"/>
      <c r="H124" s="15"/>
      <c r="I124" s="15"/>
      <c r="J124" s="15"/>
    </row>
    <row r="125" spans="1:14" x14ac:dyDescent="0.3">
      <c r="A125">
        <v>135</v>
      </c>
      <c r="B125" s="19"/>
      <c r="D125" s="14"/>
      <c r="E125" s="41"/>
      <c r="F125" s="15"/>
      <c r="H125" s="15"/>
      <c r="I125" s="15"/>
      <c r="J125" s="15"/>
    </row>
    <row r="126" spans="1:14" s="15" customFormat="1" x14ac:dyDescent="0.3">
      <c r="A126"/>
      <c r="B126" s="19"/>
      <c r="C126" s="2"/>
      <c r="D126" s="14"/>
      <c r="E126" s="41"/>
      <c r="G126" s="1"/>
      <c r="K126"/>
      <c r="L126"/>
      <c r="M126"/>
      <c r="N126"/>
    </row>
    <row r="127" spans="1:14" s="15" customFormat="1" ht="16.2" x14ac:dyDescent="0.3">
      <c r="A127"/>
      <c r="B127" s="19"/>
      <c r="C127" s="2"/>
      <c r="D127" s="14"/>
      <c r="E127" s="41"/>
      <c r="F127" s="38">
        <f>+SUM(F3:F126)</f>
        <v>5087622.6889999993</v>
      </c>
      <c r="G127" s="38">
        <f>+SUM(G3:G126)</f>
        <v>291400</v>
      </c>
      <c r="H127" s="38">
        <f>+SUM(H3:H126)</f>
        <v>5432022.6889999993</v>
      </c>
      <c r="I127" s="38">
        <f>+SUM(I3:I126)</f>
        <v>1316700</v>
      </c>
      <c r="J127" s="38">
        <f>+SUM(J3:J126)</f>
        <v>4115322.6890000002</v>
      </c>
      <c r="K127"/>
      <c r="L127"/>
      <c r="M127"/>
      <c r="N127"/>
    </row>
    <row r="128" spans="1:14" s="15" customFormat="1" x14ac:dyDescent="0.3">
      <c r="A128"/>
      <c r="B128" s="19"/>
      <c r="C128" s="2"/>
      <c r="D128" s="14"/>
      <c r="E128" s="41"/>
      <c r="G128" s="1"/>
      <c r="K128"/>
      <c r="L128"/>
      <c r="M128"/>
      <c r="N128"/>
    </row>
    <row r="129" spans="1:14" s="15" customFormat="1" x14ac:dyDescent="0.3">
      <c r="A129"/>
      <c r="B129" s="19"/>
      <c r="C129" s="2"/>
      <c r="D129" s="14"/>
      <c r="E129" s="41"/>
      <c r="G129" s="1"/>
      <c r="K129"/>
      <c r="L129"/>
      <c r="M129"/>
      <c r="N129"/>
    </row>
    <row r="130" spans="1:14" s="15" customFormat="1" x14ac:dyDescent="0.3">
      <c r="A130"/>
      <c r="B130" s="19"/>
      <c r="C130" s="2"/>
      <c r="D130" s="14"/>
      <c r="E130" s="41"/>
      <c r="G130" s="1"/>
      <c r="K130"/>
      <c r="L130"/>
      <c r="M130"/>
      <c r="N130"/>
    </row>
    <row r="131" spans="1:14" s="15" customFormat="1" x14ac:dyDescent="0.3">
      <c r="A131"/>
      <c r="B131" s="19"/>
      <c r="C131" s="2"/>
      <c r="D131" s="14"/>
      <c r="E131" s="41"/>
      <c r="G131" s="1"/>
      <c r="K131"/>
      <c r="L131"/>
      <c r="M131"/>
      <c r="N131"/>
    </row>
    <row r="132" spans="1:14" s="15" customFormat="1" x14ac:dyDescent="0.3">
      <c r="A132"/>
      <c r="B132" s="19"/>
      <c r="C132" s="2"/>
      <c r="D132" s="14"/>
      <c r="E132" s="41"/>
      <c r="G132" s="1"/>
      <c r="K132"/>
      <c r="L132"/>
      <c r="M132"/>
      <c r="N132"/>
    </row>
    <row r="133" spans="1:14" s="15" customFormat="1" x14ac:dyDescent="0.3">
      <c r="A133"/>
      <c r="B133" s="19"/>
      <c r="C133" s="2"/>
      <c r="D133" s="14"/>
      <c r="E133" s="41"/>
      <c r="G133" s="1"/>
      <c r="K133"/>
      <c r="L133"/>
      <c r="M133"/>
      <c r="N133"/>
    </row>
    <row r="134" spans="1:14" s="15" customFormat="1" x14ac:dyDescent="0.3">
      <c r="A134"/>
      <c r="B134" s="19"/>
      <c r="C134" s="2"/>
      <c r="D134" s="14"/>
      <c r="E134" s="41"/>
      <c r="G134" s="1"/>
      <c r="K134"/>
      <c r="L134"/>
      <c r="M134"/>
      <c r="N134"/>
    </row>
    <row r="135" spans="1:14" s="15" customFormat="1" x14ac:dyDescent="0.3">
      <c r="A135"/>
      <c r="B135" s="19"/>
      <c r="C135" s="2"/>
      <c r="D135" s="14"/>
      <c r="E135" s="41"/>
      <c r="G135" s="1"/>
      <c r="K135"/>
      <c r="L135"/>
      <c r="M135"/>
      <c r="N135"/>
    </row>
  </sheetData>
  <mergeCells count="214">
    <mergeCell ref="F6:F7"/>
    <mergeCell ref="H6:H7"/>
    <mergeCell ref="H4:H5"/>
    <mergeCell ref="D6:D7"/>
    <mergeCell ref="E6:E7"/>
    <mergeCell ref="D4:D5"/>
    <mergeCell ref="E4:E5"/>
    <mergeCell ref="F4:F5"/>
    <mergeCell ref="D17:D18"/>
    <mergeCell ref="E17:E18"/>
    <mergeCell ref="D15:D16"/>
    <mergeCell ref="E15:E16"/>
    <mergeCell ref="F15:F16"/>
    <mergeCell ref="F13:F14"/>
    <mergeCell ref="H13:H14"/>
    <mergeCell ref="H8:H12"/>
    <mergeCell ref="D13:D14"/>
    <mergeCell ref="E13:E14"/>
    <mergeCell ref="D8:D12"/>
    <mergeCell ref="E8:E12"/>
    <mergeCell ref="F8:F12"/>
    <mergeCell ref="F24:F29"/>
    <mergeCell ref="H24:H29"/>
    <mergeCell ref="H21:H22"/>
    <mergeCell ref="D24:D29"/>
    <mergeCell ref="E24:E29"/>
    <mergeCell ref="D21:D22"/>
    <mergeCell ref="E21:E22"/>
    <mergeCell ref="F21:F22"/>
    <mergeCell ref="F19:F20"/>
    <mergeCell ref="H19:H20"/>
    <mergeCell ref="D19:D20"/>
    <mergeCell ref="E19:E20"/>
    <mergeCell ref="D37:D38"/>
    <mergeCell ref="E37:E38"/>
    <mergeCell ref="F37:F38"/>
    <mergeCell ref="F35:F36"/>
    <mergeCell ref="H35:H36"/>
    <mergeCell ref="H31:H34"/>
    <mergeCell ref="D35:D36"/>
    <mergeCell ref="E35:E36"/>
    <mergeCell ref="D31:D34"/>
    <mergeCell ref="E31:E34"/>
    <mergeCell ref="F31:F34"/>
    <mergeCell ref="F48:F50"/>
    <mergeCell ref="H48:H50"/>
    <mergeCell ref="H42:H46"/>
    <mergeCell ref="D48:D50"/>
    <mergeCell ref="E48:E50"/>
    <mergeCell ref="D42:D46"/>
    <mergeCell ref="E42:E46"/>
    <mergeCell ref="F42:F46"/>
    <mergeCell ref="F39:F41"/>
    <mergeCell ref="H39:H41"/>
    <mergeCell ref="D39:D41"/>
    <mergeCell ref="E39:E41"/>
    <mergeCell ref="D57:D58"/>
    <mergeCell ref="E57:E58"/>
    <mergeCell ref="F57:F58"/>
    <mergeCell ref="F55:F56"/>
    <mergeCell ref="H55:H56"/>
    <mergeCell ref="H51:H54"/>
    <mergeCell ref="D55:D56"/>
    <mergeCell ref="E55:E56"/>
    <mergeCell ref="D51:D54"/>
    <mergeCell ref="E51:E54"/>
    <mergeCell ref="F51:F54"/>
    <mergeCell ref="F68:F70"/>
    <mergeCell ref="H68:H70"/>
    <mergeCell ref="H66:H67"/>
    <mergeCell ref="D68:D70"/>
    <mergeCell ref="E68:E70"/>
    <mergeCell ref="D66:D67"/>
    <mergeCell ref="E66:E67"/>
    <mergeCell ref="F66:F67"/>
    <mergeCell ref="F59:F64"/>
    <mergeCell ref="H59:H64"/>
    <mergeCell ref="D59:D64"/>
    <mergeCell ref="E59:E64"/>
    <mergeCell ref="D79:D81"/>
    <mergeCell ref="E79:E81"/>
    <mergeCell ref="F79:F81"/>
    <mergeCell ref="F75:F76"/>
    <mergeCell ref="H75:H76"/>
    <mergeCell ref="H71:H74"/>
    <mergeCell ref="D75:D76"/>
    <mergeCell ref="E75:E76"/>
    <mergeCell ref="D71:D74"/>
    <mergeCell ref="E71:E74"/>
    <mergeCell ref="F71:F74"/>
    <mergeCell ref="F89:F91"/>
    <mergeCell ref="H89:H91"/>
    <mergeCell ref="H85:H88"/>
    <mergeCell ref="D89:D91"/>
    <mergeCell ref="E89:E91"/>
    <mergeCell ref="D85:D88"/>
    <mergeCell ref="E85:E88"/>
    <mergeCell ref="F85:F88"/>
    <mergeCell ref="F83:F84"/>
    <mergeCell ref="H83:H84"/>
    <mergeCell ref="D83:D84"/>
    <mergeCell ref="E83:E84"/>
    <mergeCell ref="D102:D104"/>
    <mergeCell ref="E102:E104"/>
    <mergeCell ref="F102:F104"/>
    <mergeCell ref="F98:F101"/>
    <mergeCell ref="H98:H101"/>
    <mergeCell ref="H92:H94"/>
    <mergeCell ref="D98:D101"/>
    <mergeCell ref="E98:E101"/>
    <mergeCell ref="D92:D94"/>
    <mergeCell ref="E92:E94"/>
    <mergeCell ref="F92:F94"/>
    <mergeCell ref="F111:F113"/>
    <mergeCell ref="H111:H113"/>
    <mergeCell ref="H109:H110"/>
    <mergeCell ref="D111:D113"/>
    <mergeCell ref="E111:E113"/>
    <mergeCell ref="D109:D110"/>
    <mergeCell ref="E109:E110"/>
    <mergeCell ref="F109:F110"/>
    <mergeCell ref="F106:F108"/>
    <mergeCell ref="H106:H108"/>
    <mergeCell ref="D106:D108"/>
    <mergeCell ref="E106:E108"/>
    <mergeCell ref="D121:D122"/>
    <mergeCell ref="E121:E122"/>
    <mergeCell ref="F121:F122"/>
    <mergeCell ref="F119:F120"/>
    <mergeCell ref="H119:H120"/>
    <mergeCell ref="H117:H118"/>
    <mergeCell ref="D119:D120"/>
    <mergeCell ref="E119:E120"/>
    <mergeCell ref="D117:D118"/>
    <mergeCell ref="E117:E118"/>
    <mergeCell ref="F117:F118"/>
    <mergeCell ref="J4:J5"/>
    <mergeCell ref="I4:I5"/>
    <mergeCell ref="I6:I7"/>
    <mergeCell ref="I8:I12"/>
    <mergeCell ref="J8:J12"/>
    <mergeCell ref="I13:I14"/>
    <mergeCell ref="J13:J14"/>
    <mergeCell ref="I15:I16"/>
    <mergeCell ref="H121:H122"/>
    <mergeCell ref="H102:H104"/>
    <mergeCell ref="H79:H81"/>
    <mergeCell ref="H57:H58"/>
    <mergeCell ref="H37:H38"/>
    <mergeCell ref="H17:H18"/>
    <mergeCell ref="H15:H16"/>
    <mergeCell ref="I24:I29"/>
    <mergeCell ref="J24:J29"/>
    <mergeCell ref="I31:I34"/>
    <mergeCell ref="J31:J34"/>
    <mergeCell ref="I35:I36"/>
    <mergeCell ref="J35:J36"/>
    <mergeCell ref="J15:J16"/>
    <mergeCell ref="I17:I18"/>
    <mergeCell ref="J17:J18"/>
    <mergeCell ref="I19:I20"/>
    <mergeCell ref="J19:J20"/>
    <mergeCell ref="I21:I22"/>
    <mergeCell ref="J21:J22"/>
    <mergeCell ref="I48:I50"/>
    <mergeCell ref="J48:J50"/>
    <mergeCell ref="I51:I54"/>
    <mergeCell ref="J51:J54"/>
    <mergeCell ref="I55:I56"/>
    <mergeCell ref="J55:J56"/>
    <mergeCell ref="I37:I38"/>
    <mergeCell ref="J37:J38"/>
    <mergeCell ref="I39:I41"/>
    <mergeCell ref="J39:J41"/>
    <mergeCell ref="I42:I46"/>
    <mergeCell ref="J42:J46"/>
    <mergeCell ref="I68:I70"/>
    <mergeCell ref="J68:J70"/>
    <mergeCell ref="I71:I74"/>
    <mergeCell ref="J71:J74"/>
    <mergeCell ref="I79:I81"/>
    <mergeCell ref="J79:J81"/>
    <mergeCell ref="I57:I58"/>
    <mergeCell ref="J57:J58"/>
    <mergeCell ref="I59:I64"/>
    <mergeCell ref="J59:J64"/>
    <mergeCell ref="I66:I67"/>
    <mergeCell ref="J66:J67"/>
    <mergeCell ref="I75:I76"/>
    <mergeCell ref="J75:J76"/>
    <mergeCell ref="I92:I94"/>
    <mergeCell ref="J92:J94"/>
    <mergeCell ref="I98:I101"/>
    <mergeCell ref="J98:J101"/>
    <mergeCell ref="I102:I104"/>
    <mergeCell ref="J102:J104"/>
    <mergeCell ref="I83:I84"/>
    <mergeCell ref="J83:J84"/>
    <mergeCell ref="I85:I88"/>
    <mergeCell ref="J85:J88"/>
    <mergeCell ref="I89:I91"/>
    <mergeCell ref="J89:J91"/>
    <mergeCell ref="I117:I118"/>
    <mergeCell ref="J117:J118"/>
    <mergeCell ref="I119:I120"/>
    <mergeCell ref="J119:J120"/>
    <mergeCell ref="I121:I122"/>
    <mergeCell ref="J121:J122"/>
    <mergeCell ref="I106:I108"/>
    <mergeCell ref="J106:J108"/>
    <mergeCell ref="I109:I110"/>
    <mergeCell ref="J109:J110"/>
    <mergeCell ref="I111:I113"/>
    <mergeCell ref="J111:J113"/>
  </mergeCells>
  <pageMargins left="0" right="0" top="0.74803149606299213" bottom="0.74803149606299213" header="0.31496062992125984" footer="0.31496062992125984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E8D4-A276-4138-98B8-01935101A7CD}">
  <sheetPr codeName="Sheet1"/>
  <dimension ref="A1:U183"/>
  <sheetViews>
    <sheetView zoomScale="70" zoomScaleNormal="70" workbookViewId="0">
      <pane xSplit="4" ySplit="5" topLeftCell="E51" activePane="bottomRight" state="frozen"/>
      <selection pane="topRight" activeCell="E1" sqref="E1"/>
      <selection pane="bottomLeft" activeCell="A6" sqref="A6"/>
      <selection pane="bottomRight" activeCell="L68" sqref="L68"/>
    </sheetView>
  </sheetViews>
  <sheetFormatPr defaultRowHeight="14.4" x14ac:dyDescent="0.3"/>
  <cols>
    <col min="1" max="1" width="14.77734375" customWidth="1"/>
    <col min="2" max="2" width="12" bestFit="1" customWidth="1"/>
    <col min="3" max="3" width="25" style="2" bestFit="1" customWidth="1"/>
    <col min="4" max="4" width="12.21875" style="2" bestFit="1" customWidth="1"/>
    <col min="5" max="5" width="13.5546875" style="2" bestFit="1" customWidth="1"/>
    <col min="6" max="6" width="13.44140625" style="3" bestFit="1" customWidth="1"/>
    <col min="7" max="7" width="17.109375" style="3" customWidth="1"/>
    <col min="8" max="8" width="13.33203125" style="3" customWidth="1"/>
    <col min="9" max="9" width="18.5546875" style="3" bestFit="1" customWidth="1"/>
    <col min="10" max="10" width="13.44140625" style="3" bestFit="1" customWidth="1"/>
    <col min="11" max="11" width="11.6640625" style="3" bestFit="1" customWidth="1"/>
    <col min="12" max="12" width="14.109375" style="15" bestFit="1" customWidth="1"/>
    <col min="13" max="13" width="13.44140625" style="1" bestFit="1" customWidth="1"/>
    <col min="14" max="14" width="12.33203125" style="1" bestFit="1" customWidth="1"/>
    <col min="15" max="15" width="13.44140625" style="1" bestFit="1" customWidth="1"/>
    <col min="16" max="16" width="13.44140625" style="15" bestFit="1" customWidth="1"/>
    <col min="17" max="17" width="11.109375" style="15" bestFit="1" customWidth="1"/>
    <col min="18" max="18" width="10.109375" style="15" bestFit="1" customWidth="1"/>
    <col min="19" max="19" width="12.33203125" style="15" bestFit="1" customWidth="1"/>
    <col min="20" max="20" width="9.6640625" bestFit="1" customWidth="1"/>
    <col min="21" max="21" width="12.33203125" bestFit="1" customWidth="1"/>
  </cols>
  <sheetData>
    <row r="1" spans="1:19" ht="28.8" x14ac:dyDescent="0.3">
      <c r="A1" s="29" t="s">
        <v>26</v>
      </c>
      <c r="B1" s="30">
        <f>82000+82000</f>
        <v>164000</v>
      </c>
      <c r="C1" s="15" t="s">
        <v>24</v>
      </c>
      <c r="D1" s="30">
        <f>90000+80000</f>
        <v>170000</v>
      </c>
      <c r="E1" s="15" t="s">
        <v>29</v>
      </c>
      <c r="F1" s="27">
        <v>46126</v>
      </c>
      <c r="G1" s="27">
        <v>46162</v>
      </c>
      <c r="H1" s="15">
        <f>+G1-F1</f>
        <v>36</v>
      </c>
      <c r="I1" s="15"/>
      <c r="J1" s="28"/>
      <c r="K1" s="15"/>
    </row>
    <row r="2" spans="1:19" x14ac:dyDescent="0.3">
      <c r="A2" s="15" t="s">
        <v>27</v>
      </c>
      <c r="B2" s="15">
        <v>170</v>
      </c>
      <c r="C2" s="15" t="s">
        <v>27</v>
      </c>
      <c r="D2" s="15">
        <v>170</v>
      </c>
      <c r="E2" s="15" t="s">
        <v>30</v>
      </c>
      <c r="F2" s="15">
        <v>90</v>
      </c>
      <c r="G2" s="15" t="s">
        <v>32</v>
      </c>
      <c r="H2" s="15">
        <f>+H3/F3</f>
        <v>2562.3529411764707</v>
      </c>
      <c r="I2" s="15"/>
      <c r="J2" s="15"/>
      <c r="K2" s="15"/>
    </row>
    <row r="3" spans="1:19" x14ac:dyDescent="0.3">
      <c r="A3" s="15" t="s">
        <v>28</v>
      </c>
      <c r="B3" s="15">
        <f>+B1/B2</f>
        <v>964.70588235294122</v>
      </c>
      <c r="C3" s="15" t="s">
        <v>28</v>
      </c>
      <c r="D3" s="15">
        <f>+D1/D2</f>
        <v>1000</v>
      </c>
      <c r="E3" s="15" t="s">
        <v>31</v>
      </c>
      <c r="F3" s="15">
        <v>170</v>
      </c>
      <c r="G3" s="15" t="s">
        <v>38</v>
      </c>
      <c r="H3" s="30">
        <f>+L171</f>
        <v>435600</v>
      </c>
      <c r="I3" s="15"/>
      <c r="J3" s="15"/>
      <c r="K3" s="15"/>
    </row>
    <row r="4" spans="1:19" x14ac:dyDescent="0.3">
      <c r="A4" s="1"/>
      <c r="B4" s="1"/>
      <c r="C4" s="3"/>
      <c r="D4" s="3"/>
      <c r="E4" s="3"/>
    </row>
    <row r="5" spans="1:19" s="4" customFormat="1" x14ac:dyDescent="0.3">
      <c r="A5" s="4" t="s">
        <v>0</v>
      </c>
      <c r="B5" s="4" t="s">
        <v>20</v>
      </c>
      <c r="C5" s="4" t="s">
        <v>2</v>
      </c>
      <c r="D5" s="4" t="s">
        <v>1</v>
      </c>
      <c r="E5" s="23" t="s">
        <v>21</v>
      </c>
      <c r="F5" s="24" t="s">
        <v>22</v>
      </c>
      <c r="G5" s="24" t="s">
        <v>23</v>
      </c>
      <c r="H5" s="24" t="s">
        <v>24</v>
      </c>
      <c r="I5" s="24" t="s">
        <v>4</v>
      </c>
      <c r="J5" s="24" t="s">
        <v>25</v>
      </c>
      <c r="K5" s="24" t="s">
        <v>34</v>
      </c>
      <c r="L5" s="34" t="s">
        <v>3</v>
      </c>
      <c r="M5" s="33" t="s">
        <v>5</v>
      </c>
      <c r="N5" s="33" t="s">
        <v>4</v>
      </c>
      <c r="O5" s="33" t="s">
        <v>7</v>
      </c>
      <c r="P5" s="34" t="s">
        <v>33</v>
      </c>
      <c r="Q5" s="34" t="s">
        <v>35</v>
      </c>
      <c r="R5" s="34" t="s">
        <v>36</v>
      </c>
      <c r="S5" s="34" t="s">
        <v>33</v>
      </c>
    </row>
    <row r="6" spans="1:19" x14ac:dyDescent="0.3">
      <c r="A6">
        <v>1</v>
      </c>
      <c r="B6" s="19">
        <v>46125</v>
      </c>
      <c r="C6" s="2" t="s">
        <v>6</v>
      </c>
      <c r="D6" s="2">
        <v>83</v>
      </c>
      <c r="E6" s="2">
        <v>475</v>
      </c>
      <c r="F6" s="3">
        <f>+D6*E6</f>
        <v>39425</v>
      </c>
      <c r="G6" s="3">
        <f>+$B$3</f>
        <v>964.70588235294122</v>
      </c>
      <c r="H6" s="3">
        <f>+$D$3</f>
        <v>1000</v>
      </c>
      <c r="I6" s="3">
        <f>+$H$2</f>
        <v>2562.3529411764707</v>
      </c>
      <c r="J6" s="3">
        <f>+SUM(F6:I6)</f>
        <v>43952.058823529413</v>
      </c>
      <c r="K6" s="3">
        <f>+J6/D6</f>
        <v>529.54287739192068</v>
      </c>
      <c r="L6" s="15">
        <v>600</v>
      </c>
      <c r="M6" s="1">
        <f>+D6*L6</f>
        <v>49800</v>
      </c>
      <c r="N6" s="1">
        <v>4000</v>
      </c>
      <c r="O6" s="1">
        <f>+M6+N6</f>
        <v>53800</v>
      </c>
      <c r="P6" s="15">
        <f>+O6-J6</f>
        <v>9847.9411764705874</v>
      </c>
      <c r="Q6" s="15">
        <f>+O6/D6</f>
        <v>648.19277108433732</v>
      </c>
      <c r="R6" s="15">
        <f>+Q6-K6</f>
        <v>118.64989369241664</v>
      </c>
      <c r="S6" s="15">
        <f>+R6*D6</f>
        <v>9847.9411764705819</v>
      </c>
    </row>
    <row r="7" spans="1:19" x14ac:dyDescent="0.3">
      <c r="A7">
        <v>2</v>
      </c>
      <c r="B7" s="19">
        <v>46126</v>
      </c>
      <c r="C7" s="2" t="s">
        <v>8</v>
      </c>
      <c r="D7" s="122">
        <v>136</v>
      </c>
      <c r="E7" s="2">
        <v>475</v>
      </c>
      <c r="F7" s="118">
        <f>+D7*E7</f>
        <v>64600</v>
      </c>
      <c r="G7" s="3">
        <f t="shared" ref="G7:G71" si="0">+$B$3</f>
        <v>964.70588235294122</v>
      </c>
      <c r="H7" s="3">
        <f t="shared" ref="H7:H71" si="1">+$D$3</f>
        <v>1000</v>
      </c>
      <c r="I7" s="3">
        <f t="shared" ref="I7:I71" si="2">+$H$2</f>
        <v>2562.3529411764707</v>
      </c>
      <c r="J7" s="118">
        <f>+F7+SUM(G7:I7)+SUM(G8:I8)</f>
        <v>73654.117647058825</v>
      </c>
      <c r="K7" s="118">
        <f>+J7/D7</f>
        <v>541.57439446366789</v>
      </c>
      <c r="L7" s="118">
        <v>600</v>
      </c>
      <c r="M7" s="118">
        <f>+D7*L7</f>
        <v>81600</v>
      </c>
      <c r="N7" s="1">
        <v>4000</v>
      </c>
      <c r="O7" s="118">
        <f>+M7+N7+N8</f>
        <v>89600</v>
      </c>
      <c r="P7" s="118">
        <f>+O7-J7</f>
        <v>15945.882352941175</v>
      </c>
      <c r="Q7" s="118">
        <f>+O7/D7</f>
        <v>658.82352941176475</v>
      </c>
      <c r="R7" s="118">
        <f>+Q7-K7</f>
        <v>117.24913494809687</v>
      </c>
      <c r="S7" s="118">
        <f>+R7*D7</f>
        <v>15945.882352941175</v>
      </c>
    </row>
    <row r="8" spans="1:19" x14ac:dyDescent="0.3">
      <c r="A8">
        <v>3</v>
      </c>
      <c r="B8" s="19">
        <v>46126</v>
      </c>
      <c r="C8" s="2" t="s">
        <v>8</v>
      </c>
      <c r="D8" s="122"/>
      <c r="E8" s="2">
        <v>475</v>
      </c>
      <c r="F8" s="118"/>
      <c r="G8" s="3">
        <f t="shared" si="0"/>
        <v>964.70588235294122</v>
      </c>
      <c r="H8" s="3">
        <f t="shared" si="1"/>
        <v>1000</v>
      </c>
      <c r="I8" s="3">
        <f t="shared" si="2"/>
        <v>2562.3529411764707</v>
      </c>
      <c r="J8" s="118"/>
      <c r="K8" s="118"/>
      <c r="L8" s="118"/>
      <c r="M8" s="118"/>
      <c r="N8" s="1">
        <v>4000</v>
      </c>
      <c r="O8" s="118"/>
      <c r="P8" s="118"/>
      <c r="Q8" s="118"/>
      <c r="R8" s="118"/>
      <c r="S8" s="118"/>
    </row>
    <row r="9" spans="1:19" x14ac:dyDescent="0.3">
      <c r="A9">
        <v>4</v>
      </c>
      <c r="B9" s="19">
        <v>46130</v>
      </c>
      <c r="C9" s="2" t="s">
        <v>9</v>
      </c>
      <c r="D9" s="122">
        <v>132</v>
      </c>
      <c r="E9" s="2">
        <v>475</v>
      </c>
      <c r="F9" s="118">
        <f>+D9*E9</f>
        <v>62700</v>
      </c>
      <c r="G9" s="3">
        <f t="shared" si="0"/>
        <v>964.70588235294122</v>
      </c>
      <c r="H9" s="3">
        <f t="shared" si="1"/>
        <v>1000</v>
      </c>
      <c r="I9" s="3">
        <f t="shared" si="2"/>
        <v>2562.3529411764707</v>
      </c>
      <c r="J9" s="120">
        <f>+F9+SUM(G9:I9)+SUM(G10:I10)</f>
        <v>71754.117647058825</v>
      </c>
      <c r="K9" s="118">
        <f>+J9/D9</f>
        <v>543.59180035650627</v>
      </c>
      <c r="L9" s="118">
        <v>600</v>
      </c>
      <c r="M9" s="118">
        <f>+D9*L9</f>
        <v>79200</v>
      </c>
      <c r="N9" s="1">
        <v>3000</v>
      </c>
      <c r="O9" s="118">
        <f>+M9+N9+N10</f>
        <v>85200</v>
      </c>
      <c r="P9" s="118">
        <f>+O9-J9</f>
        <v>13445.882352941175</v>
      </c>
      <c r="Q9" s="118">
        <f>+O9/D9</f>
        <v>645.4545454545455</v>
      </c>
      <c r="R9" s="118">
        <f>+Q9-K9</f>
        <v>101.86274509803923</v>
      </c>
      <c r="S9" s="118">
        <f>+R9*D9</f>
        <v>13445.882352941178</v>
      </c>
    </row>
    <row r="10" spans="1:19" x14ac:dyDescent="0.3">
      <c r="A10">
        <v>5</v>
      </c>
      <c r="B10" s="19">
        <v>46130</v>
      </c>
      <c r="C10" s="2" t="s">
        <v>9</v>
      </c>
      <c r="D10" s="122"/>
      <c r="E10" s="2">
        <v>475</v>
      </c>
      <c r="F10" s="118"/>
      <c r="G10" s="3">
        <f t="shared" si="0"/>
        <v>964.70588235294122</v>
      </c>
      <c r="H10" s="3">
        <f t="shared" si="1"/>
        <v>1000</v>
      </c>
      <c r="I10" s="3">
        <f t="shared" si="2"/>
        <v>2562.3529411764707</v>
      </c>
      <c r="J10" s="120"/>
      <c r="K10" s="118"/>
      <c r="L10" s="118"/>
      <c r="M10" s="118"/>
      <c r="N10" s="1">
        <v>3000</v>
      </c>
      <c r="O10" s="118"/>
      <c r="P10" s="118"/>
      <c r="Q10" s="118"/>
      <c r="R10" s="118"/>
      <c r="S10" s="118"/>
    </row>
    <row r="11" spans="1:19" x14ac:dyDescent="0.3">
      <c r="A11">
        <v>6</v>
      </c>
      <c r="B11" s="19">
        <v>46130</v>
      </c>
      <c r="C11" s="2" t="s">
        <v>10</v>
      </c>
      <c r="D11" s="122">
        <v>358</v>
      </c>
      <c r="E11" s="2">
        <v>475</v>
      </c>
      <c r="F11" s="118">
        <f>+D11*E11</f>
        <v>170050</v>
      </c>
      <c r="G11" s="3">
        <f t="shared" si="0"/>
        <v>964.70588235294122</v>
      </c>
      <c r="H11" s="3">
        <f t="shared" si="1"/>
        <v>1000</v>
      </c>
      <c r="I11" s="3">
        <f t="shared" si="2"/>
        <v>2562.3529411764707</v>
      </c>
      <c r="J11" s="118">
        <f>+F11+SUM(G11:G15)+SUM(H11:H15)+SUM(I11:I15)</f>
        <v>192685.29411764705</v>
      </c>
      <c r="K11" s="118">
        <f>+J11/D11</f>
        <v>538.22707854091357</v>
      </c>
      <c r="L11" s="118">
        <v>600</v>
      </c>
      <c r="M11" s="118">
        <f>+D11*L11</f>
        <v>214800</v>
      </c>
      <c r="N11" s="1">
        <v>3000</v>
      </c>
      <c r="O11" s="118">
        <f>+M11+SUM(N11:N15)</f>
        <v>229800</v>
      </c>
      <c r="P11" s="118">
        <f>+O11-J11</f>
        <v>37114.705882352951</v>
      </c>
      <c r="Q11" s="118">
        <f>+O11/D11</f>
        <v>641.89944134078212</v>
      </c>
      <c r="R11" s="118">
        <f>+Q11-K11</f>
        <v>103.67236279986855</v>
      </c>
      <c r="S11" s="118">
        <f>+R11*D11</f>
        <v>37114.705882352944</v>
      </c>
    </row>
    <row r="12" spans="1:19" x14ac:dyDescent="0.3">
      <c r="A12">
        <v>7</v>
      </c>
      <c r="B12" s="19">
        <v>46130</v>
      </c>
      <c r="C12" s="2" t="s">
        <v>10</v>
      </c>
      <c r="D12" s="122"/>
      <c r="E12" s="2">
        <v>475</v>
      </c>
      <c r="F12" s="118"/>
      <c r="G12" s="3">
        <f t="shared" si="0"/>
        <v>964.70588235294122</v>
      </c>
      <c r="H12" s="3">
        <f t="shared" si="1"/>
        <v>1000</v>
      </c>
      <c r="I12" s="3">
        <f t="shared" si="2"/>
        <v>2562.3529411764707</v>
      </c>
      <c r="J12" s="118"/>
      <c r="K12" s="118"/>
      <c r="L12" s="118"/>
      <c r="M12" s="118"/>
      <c r="N12" s="1">
        <v>3000</v>
      </c>
      <c r="O12" s="118"/>
      <c r="P12" s="118"/>
      <c r="Q12" s="118"/>
      <c r="R12" s="118"/>
      <c r="S12" s="118"/>
    </row>
    <row r="13" spans="1:19" x14ac:dyDescent="0.3">
      <c r="A13">
        <v>8</v>
      </c>
      <c r="B13" s="19">
        <v>46130</v>
      </c>
      <c r="C13" s="2" t="s">
        <v>10</v>
      </c>
      <c r="D13" s="122"/>
      <c r="E13" s="2">
        <v>475</v>
      </c>
      <c r="F13" s="118"/>
      <c r="G13" s="3">
        <f t="shared" si="0"/>
        <v>964.70588235294122</v>
      </c>
      <c r="H13" s="3">
        <f t="shared" si="1"/>
        <v>1000</v>
      </c>
      <c r="I13" s="3">
        <f t="shared" si="2"/>
        <v>2562.3529411764707</v>
      </c>
      <c r="J13" s="118"/>
      <c r="K13" s="118"/>
      <c r="L13" s="118"/>
      <c r="M13" s="118"/>
      <c r="N13" s="1">
        <v>3000</v>
      </c>
      <c r="O13" s="118"/>
      <c r="P13" s="118"/>
      <c r="Q13" s="118"/>
      <c r="R13" s="118"/>
      <c r="S13" s="118"/>
    </row>
    <row r="14" spans="1:19" x14ac:dyDescent="0.3">
      <c r="A14">
        <v>9</v>
      </c>
      <c r="B14" s="19">
        <v>46130</v>
      </c>
      <c r="C14" s="2" t="s">
        <v>10</v>
      </c>
      <c r="D14" s="122"/>
      <c r="E14" s="2">
        <v>475</v>
      </c>
      <c r="F14" s="118"/>
      <c r="G14" s="3">
        <f t="shared" si="0"/>
        <v>964.70588235294122</v>
      </c>
      <c r="H14" s="3">
        <f t="shared" si="1"/>
        <v>1000</v>
      </c>
      <c r="I14" s="3">
        <f t="shared" si="2"/>
        <v>2562.3529411764707</v>
      </c>
      <c r="J14" s="118"/>
      <c r="K14" s="118"/>
      <c r="L14" s="118"/>
      <c r="M14" s="118"/>
      <c r="N14" s="1">
        <v>3000</v>
      </c>
      <c r="O14" s="118"/>
      <c r="P14" s="118"/>
      <c r="Q14" s="118"/>
      <c r="R14" s="118"/>
      <c r="S14" s="118"/>
    </row>
    <row r="15" spans="1:19" x14ac:dyDescent="0.3">
      <c r="A15">
        <v>10</v>
      </c>
      <c r="B15" s="19">
        <v>46130</v>
      </c>
      <c r="C15" s="2" t="s">
        <v>10</v>
      </c>
      <c r="D15" s="122"/>
      <c r="E15" s="2">
        <v>475</v>
      </c>
      <c r="F15" s="118"/>
      <c r="G15" s="3">
        <f t="shared" si="0"/>
        <v>964.70588235294122</v>
      </c>
      <c r="H15" s="3">
        <f t="shared" si="1"/>
        <v>1000</v>
      </c>
      <c r="I15" s="3">
        <f t="shared" si="2"/>
        <v>2562.3529411764707</v>
      </c>
      <c r="J15" s="118"/>
      <c r="K15" s="118"/>
      <c r="L15" s="118"/>
      <c r="M15" s="118"/>
      <c r="N15" s="1">
        <v>3000</v>
      </c>
      <c r="O15" s="118"/>
      <c r="P15" s="118"/>
      <c r="Q15" s="118"/>
      <c r="R15" s="118"/>
      <c r="S15" s="118"/>
    </row>
    <row r="16" spans="1:19" x14ac:dyDescent="0.3">
      <c r="A16">
        <v>11</v>
      </c>
      <c r="B16" s="19">
        <v>46130</v>
      </c>
      <c r="C16" s="2" t="s">
        <v>11</v>
      </c>
      <c r="D16" s="122">
        <v>144</v>
      </c>
      <c r="E16" s="2">
        <v>475</v>
      </c>
      <c r="F16" s="118">
        <f>+D16*E16</f>
        <v>68400</v>
      </c>
      <c r="G16" s="3">
        <f t="shared" si="0"/>
        <v>964.70588235294122</v>
      </c>
      <c r="H16" s="3">
        <f t="shared" si="1"/>
        <v>1000</v>
      </c>
      <c r="I16" s="3">
        <f t="shared" si="2"/>
        <v>2562.3529411764707</v>
      </c>
      <c r="J16" s="118">
        <f>+F16+SUM(G16:I16)+SUM(G17:I17)</f>
        <v>77454.117647058825</v>
      </c>
      <c r="K16" s="120">
        <f>+J16/D16</f>
        <v>537.87581699346401</v>
      </c>
      <c r="L16" s="118">
        <v>600</v>
      </c>
      <c r="M16" s="118">
        <f>+D16*L16</f>
        <v>86400</v>
      </c>
      <c r="N16" s="1">
        <v>3300</v>
      </c>
      <c r="O16" s="118">
        <f>+M16+N16+N17</f>
        <v>93000</v>
      </c>
      <c r="P16" s="118">
        <f>+O16-J16</f>
        <v>15545.882352941175</v>
      </c>
      <c r="Q16" s="118">
        <f>+O16/D16</f>
        <v>645.83333333333337</v>
      </c>
      <c r="R16" s="118">
        <f>+Q16-K16</f>
        <v>107.95751633986936</v>
      </c>
      <c r="S16" s="118">
        <f>+R16*D16</f>
        <v>15545.882352941187</v>
      </c>
    </row>
    <row r="17" spans="1:19" x14ac:dyDescent="0.3">
      <c r="A17">
        <v>12</v>
      </c>
      <c r="B17" s="19">
        <v>46130</v>
      </c>
      <c r="C17" s="2" t="s">
        <v>11</v>
      </c>
      <c r="D17" s="122"/>
      <c r="E17" s="2">
        <v>475</v>
      </c>
      <c r="F17" s="118"/>
      <c r="G17" s="3">
        <f t="shared" si="0"/>
        <v>964.70588235294122</v>
      </c>
      <c r="H17" s="3">
        <f t="shared" si="1"/>
        <v>1000</v>
      </c>
      <c r="I17" s="3">
        <f t="shared" si="2"/>
        <v>2562.3529411764707</v>
      </c>
      <c r="J17" s="118"/>
      <c r="K17" s="120"/>
      <c r="L17" s="118"/>
      <c r="M17" s="118"/>
      <c r="N17" s="1">
        <v>3300</v>
      </c>
      <c r="O17" s="118"/>
      <c r="P17" s="118"/>
      <c r="Q17" s="118"/>
      <c r="R17" s="118"/>
      <c r="S17" s="118"/>
    </row>
    <row r="18" spans="1:19" x14ac:dyDescent="0.3">
      <c r="A18">
        <v>13</v>
      </c>
      <c r="B18" s="19">
        <v>46130</v>
      </c>
      <c r="C18" s="2" t="s">
        <v>12</v>
      </c>
      <c r="D18" s="122">
        <v>128</v>
      </c>
      <c r="E18" s="2">
        <v>475</v>
      </c>
      <c r="F18" s="118">
        <f>+D18*E18</f>
        <v>60800</v>
      </c>
      <c r="G18" s="3">
        <f t="shared" si="0"/>
        <v>964.70588235294122</v>
      </c>
      <c r="H18" s="3">
        <f t="shared" si="1"/>
        <v>1000</v>
      </c>
      <c r="I18" s="3">
        <f t="shared" si="2"/>
        <v>2562.3529411764707</v>
      </c>
      <c r="J18" s="118">
        <f>+F18+SUM(G18:I18)+SUM(G19:I19)</f>
        <v>69854.117647058825</v>
      </c>
      <c r="K18" s="118">
        <f>+J18/D18</f>
        <v>545.73529411764707</v>
      </c>
      <c r="L18" s="118">
        <v>600</v>
      </c>
      <c r="M18" s="118">
        <f>+D18*L18</f>
        <v>76800</v>
      </c>
      <c r="N18" s="1">
        <v>3300</v>
      </c>
      <c r="O18" s="118">
        <f>+M18+N18+N19</f>
        <v>83400</v>
      </c>
      <c r="P18" s="118">
        <f>+O18-J18</f>
        <v>13545.882352941175</v>
      </c>
      <c r="Q18" s="118">
        <f>+O18/D18</f>
        <v>651.5625</v>
      </c>
      <c r="R18" s="118">
        <f>+Q18-K18</f>
        <v>105.82720588235293</v>
      </c>
      <c r="S18" s="118">
        <f>+R18*D18</f>
        <v>13545.882352941175</v>
      </c>
    </row>
    <row r="19" spans="1:19" x14ac:dyDescent="0.3">
      <c r="A19">
        <v>14</v>
      </c>
      <c r="B19" s="19">
        <v>46130</v>
      </c>
      <c r="C19" s="2" t="s">
        <v>12</v>
      </c>
      <c r="D19" s="122"/>
      <c r="E19" s="2">
        <v>475</v>
      </c>
      <c r="F19" s="118"/>
      <c r="G19" s="3">
        <f t="shared" si="0"/>
        <v>964.70588235294122</v>
      </c>
      <c r="H19" s="3">
        <f t="shared" si="1"/>
        <v>1000</v>
      </c>
      <c r="I19" s="3">
        <f t="shared" si="2"/>
        <v>2562.3529411764707</v>
      </c>
      <c r="J19" s="118"/>
      <c r="K19" s="118"/>
      <c r="L19" s="118"/>
      <c r="M19" s="118"/>
      <c r="N19" s="1">
        <v>3300</v>
      </c>
      <c r="O19" s="118"/>
      <c r="P19" s="118"/>
      <c r="Q19" s="118"/>
      <c r="R19" s="118"/>
      <c r="S19" s="118"/>
    </row>
    <row r="20" spans="1:19" x14ac:dyDescent="0.3">
      <c r="A20">
        <v>15</v>
      </c>
      <c r="B20" s="19">
        <v>46131</v>
      </c>
      <c r="C20" s="2" t="s">
        <v>13</v>
      </c>
      <c r="D20" s="122">
        <v>123</v>
      </c>
      <c r="E20" s="2">
        <v>475</v>
      </c>
      <c r="F20" s="118">
        <f>+D20*E20</f>
        <v>58425</v>
      </c>
      <c r="G20" s="3">
        <f t="shared" si="0"/>
        <v>964.70588235294122</v>
      </c>
      <c r="H20" s="3">
        <f t="shared" si="1"/>
        <v>1000</v>
      </c>
      <c r="I20" s="3">
        <f t="shared" si="2"/>
        <v>2562.3529411764707</v>
      </c>
      <c r="J20" s="118">
        <f>+F20+SUM(G20:I20)+SUM(G21:I21)</f>
        <v>67479.117647058825</v>
      </c>
      <c r="K20" s="118">
        <f>+J20/D20</f>
        <v>548.61071257771403</v>
      </c>
      <c r="L20" s="118">
        <v>626.01700000000005</v>
      </c>
      <c r="M20" s="1">
        <f>+D20*L20</f>
        <v>77000.091</v>
      </c>
      <c r="N20" s="1">
        <v>3500</v>
      </c>
      <c r="O20" s="118">
        <f>+SUM(M20+N20+N21)</f>
        <v>84000.091</v>
      </c>
      <c r="P20" s="118">
        <f>+O20-J20</f>
        <v>16520.973352941175</v>
      </c>
      <c r="Q20" s="118">
        <f>+O20/D20</f>
        <v>682.92756910569108</v>
      </c>
      <c r="R20" s="118">
        <f>+Q20-K20</f>
        <v>134.31685652797705</v>
      </c>
      <c r="S20" s="118">
        <f>+R20*D20</f>
        <v>16520.973352941179</v>
      </c>
    </row>
    <row r="21" spans="1:19" x14ac:dyDescent="0.3">
      <c r="A21">
        <v>16</v>
      </c>
      <c r="B21" s="19">
        <v>46131</v>
      </c>
      <c r="C21" s="2" t="s">
        <v>13</v>
      </c>
      <c r="D21" s="122"/>
      <c r="E21" s="2">
        <v>475</v>
      </c>
      <c r="F21" s="118"/>
      <c r="G21" s="3">
        <f t="shared" si="0"/>
        <v>964.70588235294122</v>
      </c>
      <c r="H21" s="3">
        <f t="shared" si="1"/>
        <v>1000</v>
      </c>
      <c r="I21" s="3">
        <f t="shared" si="2"/>
        <v>2562.3529411764707</v>
      </c>
      <c r="J21" s="118"/>
      <c r="K21" s="118"/>
      <c r="L21" s="118"/>
      <c r="M21" s="1">
        <f>+D21*L21</f>
        <v>0</v>
      </c>
      <c r="N21" s="1">
        <v>3500</v>
      </c>
      <c r="O21" s="118"/>
      <c r="P21" s="118"/>
      <c r="Q21" s="118"/>
      <c r="R21" s="118"/>
      <c r="S21" s="118"/>
    </row>
    <row r="22" spans="1:19" x14ac:dyDescent="0.3">
      <c r="A22">
        <v>17</v>
      </c>
      <c r="B22" s="19">
        <v>46131</v>
      </c>
      <c r="C22" s="2" t="s">
        <v>14</v>
      </c>
      <c r="D22" s="122">
        <v>115</v>
      </c>
      <c r="E22" s="2">
        <v>475</v>
      </c>
      <c r="F22" s="118">
        <f>+D22*E22</f>
        <v>54625</v>
      </c>
      <c r="G22" s="3">
        <f t="shared" si="0"/>
        <v>964.70588235294122</v>
      </c>
      <c r="H22" s="3">
        <f t="shared" si="1"/>
        <v>1000</v>
      </c>
      <c r="I22" s="3">
        <f t="shared" si="2"/>
        <v>2562.3529411764707</v>
      </c>
      <c r="J22" s="118">
        <f>+SUM(F22+SUM(G22:I22)+SUM(G23:I23))</f>
        <v>63679.117647058825</v>
      </c>
      <c r="K22" s="118">
        <f>+J22/D22</f>
        <v>553.73145780051152</v>
      </c>
      <c r="L22" s="118">
        <v>600</v>
      </c>
      <c r="M22" s="118">
        <f>+D22*L22</f>
        <v>69000</v>
      </c>
      <c r="N22" s="1">
        <v>3000</v>
      </c>
      <c r="O22" s="118">
        <f>+M22+N22+N23</f>
        <v>75000</v>
      </c>
      <c r="P22" s="118">
        <f>+O22-J22</f>
        <v>11320.882352941175</v>
      </c>
      <c r="Q22" s="118">
        <f>+O22/D22</f>
        <v>652.17391304347825</v>
      </c>
      <c r="R22" s="118">
        <f>+Q22-K22</f>
        <v>98.44245524296673</v>
      </c>
      <c r="S22" s="118">
        <f>+R22*D22</f>
        <v>11320.882352941175</v>
      </c>
    </row>
    <row r="23" spans="1:19" x14ac:dyDescent="0.3">
      <c r="A23">
        <v>18</v>
      </c>
      <c r="B23" s="19">
        <v>46131</v>
      </c>
      <c r="C23" s="2" t="s">
        <v>14</v>
      </c>
      <c r="D23" s="122"/>
      <c r="E23" s="2">
        <v>475</v>
      </c>
      <c r="F23" s="118"/>
      <c r="G23" s="3">
        <f t="shared" si="0"/>
        <v>964.70588235294122</v>
      </c>
      <c r="H23" s="3">
        <f t="shared" si="1"/>
        <v>1000</v>
      </c>
      <c r="I23" s="3">
        <f t="shared" si="2"/>
        <v>2562.3529411764707</v>
      </c>
      <c r="J23" s="122"/>
      <c r="K23" s="118"/>
      <c r="L23" s="118"/>
      <c r="M23" s="118"/>
      <c r="N23" s="1">
        <v>3000</v>
      </c>
      <c r="O23" s="118"/>
      <c r="P23" s="118"/>
      <c r="Q23" s="118"/>
      <c r="R23" s="118"/>
      <c r="S23" s="118"/>
    </row>
    <row r="24" spans="1:19" x14ac:dyDescent="0.3">
      <c r="A24">
        <v>19</v>
      </c>
      <c r="B24" s="19">
        <v>46131</v>
      </c>
      <c r="C24" s="2" t="s">
        <v>15</v>
      </c>
      <c r="D24" s="122">
        <v>136</v>
      </c>
      <c r="E24" s="2">
        <v>475</v>
      </c>
      <c r="F24" s="118">
        <f>+D24*E24</f>
        <v>64600</v>
      </c>
      <c r="G24" s="3">
        <f t="shared" si="0"/>
        <v>964.70588235294122</v>
      </c>
      <c r="H24" s="3">
        <f t="shared" si="1"/>
        <v>1000</v>
      </c>
      <c r="I24" s="3">
        <f t="shared" si="2"/>
        <v>2562.3529411764707</v>
      </c>
      <c r="J24" s="118">
        <f>+F24+SUM(G24:I24)+SUM(G25:I25)</f>
        <v>73654.117647058825</v>
      </c>
      <c r="K24" s="118">
        <f>+J24/D24</f>
        <v>541.57439446366789</v>
      </c>
      <c r="L24" s="118">
        <v>600</v>
      </c>
      <c r="M24" s="118">
        <f>+D24*L24</f>
        <v>81600</v>
      </c>
      <c r="N24" s="1">
        <v>3400</v>
      </c>
      <c r="O24" s="118">
        <f>+M24+N24+N25</f>
        <v>88400</v>
      </c>
      <c r="P24" s="118">
        <f>+O24-J24</f>
        <v>14745.882352941175</v>
      </c>
      <c r="Q24" s="118">
        <f>+O24/D24</f>
        <v>650</v>
      </c>
      <c r="R24" s="118">
        <f>+Q24-K24</f>
        <v>108.42560553633211</v>
      </c>
      <c r="S24" s="118">
        <f>+R24*D24</f>
        <v>14745.882352941167</v>
      </c>
    </row>
    <row r="25" spans="1:19" x14ac:dyDescent="0.3">
      <c r="A25">
        <v>20</v>
      </c>
      <c r="B25" s="19">
        <v>46131</v>
      </c>
      <c r="C25" s="2" t="s">
        <v>15</v>
      </c>
      <c r="D25" s="122"/>
      <c r="E25" s="2">
        <v>475</v>
      </c>
      <c r="F25" s="118"/>
      <c r="G25" s="3">
        <f t="shared" si="0"/>
        <v>964.70588235294122</v>
      </c>
      <c r="H25" s="3">
        <f t="shared" si="1"/>
        <v>1000</v>
      </c>
      <c r="I25" s="3">
        <f t="shared" si="2"/>
        <v>2562.3529411764707</v>
      </c>
      <c r="J25" s="122"/>
      <c r="K25" s="118"/>
      <c r="L25" s="118"/>
      <c r="M25" s="118"/>
      <c r="N25" s="1">
        <v>3400</v>
      </c>
      <c r="O25" s="118"/>
      <c r="P25" s="118"/>
      <c r="Q25" s="118"/>
      <c r="R25" s="118"/>
      <c r="S25" s="118"/>
    </row>
    <row r="26" spans="1:19" x14ac:dyDescent="0.3">
      <c r="A26">
        <v>21</v>
      </c>
      <c r="B26" s="19">
        <v>46131</v>
      </c>
      <c r="C26" s="2" t="s">
        <v>15</v>
      </c>
      <c r="D26" s="14">
        <v>63</v>
      </c>
      <c r="E26" s="2">
        <v>475</v>
      </c>
      <c r="F26" s="15">
        <f>+D26*E26</f>
        <v>29925</v>
      </c>
      <c r="G26" s="3">
        <f t="shared" si="0"/>
        <v>964.70588235294122</v>
      </c>
      <c r="H26" s="3">
        <f t="shared" si="1"/>
        <v>1000</v>
      </c>
      <c r="I26" s="3">
        <f t="shared" si="2"/>
        <v>2562.3529411764707</v>
      </c>
      <c r="J26" s="18">
        <f>+SUM(F26:I26)</f>
        <v>34452.058823529413</v>
      </c>
      <c r="K26" s="15">
        <f>+J26/D26</f>
        <v>546.85807656395889</v>
      </c>
      <c r="L26" s="15">
        <v>700</v>
      </c>
      <c r="M26" s="15">
        <f>+L26*D26</f>
        <v>44100</v>
      </c>
      <c r="N26" s="1">
        <v>3400</v>
      </c>
      <c r="O26" s="15">
        <f>+M26+N26</f>
        <v>47500</v>
      </c>
      <c r="P26" s="15">
        <f>+O26-J26</f>
        <v>13047.941176470587</v>
      </c>
      <c r="Q26" s="15">
        <f>+O26/D26</f>
        <v>753.96825396825398</v>
      </c>
      <c r="R26" s="15">
        <f>+Q26-K26</f>
        <v>207.11017740429509</v>
      </c>
      <c r="S26" s="15">
        <f>+R26*D26</f>
        <v>13047.941176470591</v>
      </c>
    </row>
    <row r="27" spans="1:19" x14ac:dyDescent="0.3">
      <c r="A27">
        <v>22</v>
      </c>
      <c r="B27" s="19">
        <v>46131</v>
      </c>
      <c r="C27" s="2" t="s">
        <v>16</v>
      </c>
      <c r="D27" s="122">
        <v>374</v>
      </c>
      <c r="E27" s="2">
        <v>475</v>
      </c>
      <c r="F27" s="118">
        <f>+D27*E27</f>
        <v>177650</v>
      </c>
      <c r="G27" s="3">
        <f t="shared" si="0"/>
        <v>964.70588235294122</v>
      </c>
      <c r="H27" s="3">
        <f t="shared" si="1"/>
        <v>1000</v>
      </c>
      <c r="I27" s="3">
        <f t="shared" si="2"/>
        <v>2562.3529411764707</v>
      </c>
      <c r="J27" s="118">
        <f>+SUM(F27+SUM(G27:G32)+SUM(H27:H32)+SUM(I27:I32))</f>
        <v>204812.35294117648</v>
      </c>
      <c r="K27" s="118">
        <f>+J27/D27</f>
        <v>547.62661214218303</v>
      </c>
      <c r="L27" s="118">
        <v>600</v>
      </c>
      <c r="M27" s="118">
        <f>+D27*L27</f>
        <v>224400</v>
      </c>
      <c r="N27" s="1">
        <v>3000</v>
      </c>
      <c r="O27" s="118">
        <f>+M27+SUM(N27:N32)</f>
        <v>242400</v>
      </c>
      <c r="P27" s="118">
        <f>+O27-J27</f>
        <v>37587.647058823524</v>
      </c>
      <c r="Q27" s="118">
        <f>+O27/D27</f>
        <v>648.1283422459893</v>
      </c>
      <c r="R27" s="118">
        <f>+Q27-K27</f>
        <v>100.50173010380627</v>
      </c>
      <c r="S27" s="118">
        <f>+R27*D27</f>
        <v>37587.647058823546</v>
      </c>
    </row>
    <row r="28" spans="1:19" x14ac:dyDescent="0.3">
      <c r="A28">
        <v>23</v>
      </c>
      <c r="B28" s="19">
        <v>46131</v>
      </c>
      <c r="C28" s="2" t="s">
        <v>16</v>
      </c>
      <c r="D28" s="122"/>
      <c r="E28" s="2">
        <v>475</v>
      </c>
      <c r="F28" s="118"/>
      <c r="G28" s="3">
        <f t="shared" si="0"/>
        <v>964.70588235294122</v>
      </c>
      <c r="H28" s="3">
        <f t="shared" si="1"/>
        <v>1000</v>
      </c>
      <c r="I28" s="3">
        <f t="shared" si="2"/>
        <v>2562.3529411764707</v>
      </c>
      <c r="J28" s="122"/>
      <c r="K28" s="118"/>
      <c r="L28" s="118"/>
      <c r="M28" s="118"/>
      <c r="N28" s="1">
        <v>3000</v>
      </c>
      <c r="O28" s="118"/>
      <c r="P28" s="118"/>
      <c r="Q28" s="118"/>
      <c r="R28" s="118"/>
      <c r="S28" s="118"/>
    </row>
    <row r="29" spans="1:19" x14ac:dyDescent="0.3">
      <c r="A29">
        <v>24</v>
      </c>
      <c r="B29" s="19">
        <v>46131</v>
      </c>
      <c r="C29" s="2" t="s">
        <v>16</v>
      </c>
      <c r="D29" s="122"/>
      <c r="E29" s="2">
        <v>475</v>
      </c>
      <c r="F29" s="118"/>
      <c r="G29" s="3">
        <f t="shared" si="0"/>
        <v>964.70588235294122</v>
      </c>
      <c r="H29" s="3">
        <f t="shared" si="1"/>
        <v>1000</v>
      </c>
      <c r="I29" s="3">
        <f t="shared" si="2"/>
        <v>2562.3529411764707</v>
      </c>
      <c r="J29" s="122"/>
      <c r="K29" s="118"/>
      <c r="L29" s="118"/>
      <c r="M29" s="118"/>
      <c r="N29" s="1">
        <v>3000</v>
      </c>
      <c r="O29" s="118"/>
      <c r="P29" s="118"/>
      <c r="Q29" s="118"/>
      <c r="R29" s="118"/>
      <c r="S29" s="118"/>
    </row>
    <row r="30" spans="1:19" x14ac:dyDescent="0.3">
      <c r="A30">
        <v>25</v>
      </c>
      <c r="B30" s="19">
        <v>46131</v>
      </c>
      <c r="C30" s="2" t="s">
        <v>16</v>
      </c>
      <c r="D30" s="122"/>
      <c r="E30" s="2">
        <v>475</v>
      </c>
      <c r="F30" s="118"/>
      <c r="G30" s="3">
        <f t="shared" si="0"/>
        <v>964.70588235294122</v>
      </c>
      <c r="H30" s="3">
        <f t="shared" si="1"/>
        <v>1000</v>
      </c>
      <c r="I30" s="3">
        <f t="shared" si="2"/>
        <v>2562.3529411764707</v>
      </c>
      <c r="J30" s="122"/>
      <c r="K30" s="118"/>
      <c r="L30" s="118"/>
      <c r="M30" s="118"/>
      <c r="N30" s="1">
        <v>3000</v>
      </c>
      <c r="O30" s="118"/>
      <c r="P30" s="118"/>
      <c r="Q30" s="118"/>
      <c r="R30" s="118"/>
      <c r="S30" s="118"/>
    </row>
    <row r="31" spans="1:19" x14ac:dyDescent="0.3">
      <c r="A31">
        <v>26</v>
      </c>
      <c r="B31" s="19">
        <v>46131</v>
      </c>
      <c r="C31" s="2" t="s">
        <v>16</v>
      </c>
      <c r="D31" s="122"/>
      <c r="E31" s="2">
        <v>475</v>
      </c>
      <c r="F31" s="118"/>
      <c r="G31" s="3">
        <f t="shared" si="0"/>
        <v>964.70588235294122</v>
      </c>
      <c r="H31" s="3">
        <f t="shared" si="1"/>
        <v>1000</v>
      </c>
      <c r="I31" s="3">
        <f t="shared" si="2"/>
        <v>2562.3529411764707</v>
      </c>
      <c r="J31" s="122"/>
      <c r="K31" s="118"/>
      <c r="L31" s="118"/>
      <c r="M31" s="118"/>
      <c r="N31" s="1">
        <v>3000</v>
      </c>
      <c r="O31" s="118"/>
      <c r="P31" s="118"/>
      <c r="Q31" s="118"/>
      <c r="R31" s="118"/>
      <c r="S31" s="118"/>
    </row>
    <row r="32" spans="1:19" x14ac:dyDescent="0.3">
      <c r="A32">
        <v>27</v>
      </c>
      <c r="B32" s="19">
        <v>46131</v>
      </c>
      <c r="C32" s="2" t="s">
        <v>16</v>
      </c>
      <c r="D32" s="122"/>
      <c r="E32" s="2">
        <v>475</v>
      </c>
      <c r="F32" s="118"/>
      <c r="G32" s="3">
        <f t="shared" si="0"/>
        <v>964.70588235294122</v>
      </c>
      <c r="H32" s="3">
        <f t="shared" si="1"/>
        <v>1000</v>
      </c>
      <c r="I32" s="3">
        <f t="shared" si="2"/>
        <v>2562.3529411764707</v>
      </c>
      <c r="J32" s="122"/>
      <c r="K32" s="118"/>
      <c r="L32" s="118"/>
      <c r="M32" s="118"/>
      <c r="N32" s="1">
        <v>3000</v>
      </c>
      <c r="O32" s="118"/>
      <c r="P32" s="118"/>
      <c r="Q32" s="118"/>
      <c r="R32" s="118"/>
      <c r="S32" s="118"/>
    </row>
    <row r="33" spans="1:19" x14ac:dyDescent="0.3">
      <c r="A33">
        <v>28</v>
      </c>
      <c r="B33" s="19">
        <v>46131</v>
      </c>
      <c r="C33" s="2" t="s">
        <v>17</v>
      </c>
      <c r="D33" s="2">
        <v>88</v>
      </c>
      <c r="E33" s="2">
        <v>475</v>
      </c>
      <c r="F33" s="3">
        <f>+D33*E33</f>
        <v>41800</v>
      </c>
      <c r="G33" s="3">
        <f t="shared" si="0"/>
        <v>964.70588235294122</v>
      </c>
      <c r="H33" s="3">
        <f t="shared" si="1"/>
        <v>1000</v>
      </c>
      <c r="I33" s="3">
        <f t="shared" si="2"/>
        <v>2562.3529411764707</v>
      </c>
      <c r="J33" s="3">
        <f>+SUM(F33:I33)</f>
        <v>46327.058823529413</v>
      </c>
      <c r="K33" s="3">
        <f>+J33/D33</f>
        <v>526.44385026737973</v>
      </c>
      <c r="L33" s="15">
        <v>625</v>
      </c>
      <c r="M33" s="1">
        <f>+L33*D33</f>
        <v>55000</v>
      </c>
      <c r="N33" s="1">
        <v>3500</v>
      </c>
      <c r="O33" s="1">
        <f>+M33+N33</f>
        <v>58500</v>
      </c>
      <c r="P33" s="15">
        <f>+O33-J33</f>
        <v>12172.941176470587</v>
      </c>
      <c r="Q33" s="15">
        <f>+O33/D33</f>
        <v>664.77272727272725</v>
      </c>
      <c r="R33" s="15">
        <f>+Q33-K33</f>
        <v>138.32887700534752</v>
      </c>
      <c r="S33" s="15">
        <f>+R33*D33</f>
        <v>12172.941176470582</v>
      </c>
    </row>
    <row r="34" spans="1:19" x14ac:dyDescent="0.3">
      <c r="A34">
        <v>29</v>
      </c>
      <c r="B34" s="19">
        <v>46131</v>
      </c>
      <c r="C34" s="2" t="s">
        <v>18</v>
      </c>
      <c r="D34" s="122">
        <v>236</v>
      </c>
      <c r="E34" s="2">
        <v>475</v>
      </c>
      <c r="F34" s="118">
        <f>+D34*E34</f>
        <v>112100</v>
      </c>
      <c r="G34" s="3">
        <f t="shared" si="0"/>
        <v>964.70588235294122</v>
      </c>
      <c r="H34" s="3">
        <f t="shared" si="1"/>
        <v>1000</v>
      </c>
      <c r="I34" s="3">
        <f t="shared" si="2"/>
        <v>2562.3529411764707</v>
      </c>
      <c r="J34" s="118">
        <f>+F34+SUM(G34:G37)+SUM(H34:H37)+SUM(I34:I37)</f>
        <v>130208.23529411765</v>
      </c>
      <c r="K34" s="118">
        <f>+J34/D34</f>
        <v>551.72981056829508</v>
      </c>
      <c r="L34" s="118">
        <v>600</v>
      </c>
      <c r="M34" s="118">
        <f>+D34*L34</f>
        <v>141600</v>
      </c>
      <c r="N34" s="1">
        <v>3500</v>
      </c>
      <c r="O34" s="118">
        <f>+M34+SUM(N34:N37)</f>
        <v>155600</v>
      </c>
      <c r="P34" s="118">
        <f>+O34-J34</f>
        <v>25391.76470588235</v>
      </c>
      <c r="Q34" s="118">
        <f>+O34/D34</f>
        <v>659.32203389830511</v>
      </c>
      <c r="R34" s="118">
        <f>+Q34-K34</f>
        <v>107.59222333001003</v>
      </c>
      <c r="S34" s="118">
        <f>+R34*D34</f>
        <v>25391.764705882368</v>
      </c>
    </row>
    <row r="35" spans="1:19" x14ac:dyDescent="0.3">
      <c r="A35">
        <v>30</v>
      </c>
      <c r="B35" s="19">
        <v>46131</v>
      </c>
      <c r="C35" s="2" t="s">
        <v>18</v>
      </c>
      <c r="D35" s="122"/>
      <c r="E35" s="2">
        <v>475</v>
      </c>
      <c r="F35" s="118"/>
      <c r="G35" s="3">
        <f t="shared" si="0"/>
        <v>964.70588235294122</v>
      </c>
      <c r="H35" s="3">
        <f t="shared" si="1"/>
        <v>1000</v>
      </c>
      <c r="I35" s="3">
        <f t="shared" si="2"/>
        <v>2562.3529411764707</v>
      </c>
      <c r="J35" s="122"/>
      <c r="K35" s="118"/>
      <c r="L35" s="118"/>
      <c r="M35" s="118"/>
      <c r="N35" s="1">
        <v>3500</v>
      </c>
      <c r="O35" s="118"/>
      <c r="P35" s="118"/>
      <c r="Q35" s="118"/>
      <c r="R35" s="118"/>
      <c r="S35" s="118"/>
    </row>
    <row r="36" spans="1:19" x14ac:dyDescent="0.3">
      <c r="A36">
        <v>31</v>
      </c>
      <c r="B36" s="19">
        <v>46131</v>
      </c>
      <c r="C36" s="2" t="s">
        <v>18</v>
      </c>
      <c r="D36" s="122"/>
      <c r="E36" s="2">
        <v>475</v>
      </c>
      <c r="F36" s="118"/>
      <c r="G36" s="3">
        <f t="shared" si="0"/>
        <v>964.70588235294122</v>
      </c>
      <c r="H36" s="3">
        <f t="shared" si="1"/>
        <v>1000</v>
      </c>
      <c r="I36" s="3">
        <f t="shared" si="2"/>
        <v>2562.3529411764707</v>
      </c>
      <c r="J36" s="122"/>
      <c r="K36" s="118"/>
      <c r="L36" s="118"/>
      <c r="M36" s="118"/>
      <c r="N36" s="1">
        <v>3500</v>
      </c>
      <c r="O36" s="118"/>
      <c r="P36" s="118"/>
      <c r="Q36" s="118"/>
      <c r="R36" s="118"/>
      <c r="S36" s="118"/>
    </row>
    <row r="37" spans="1:19" x14ac:dyDescent="0.3">
      <c r="A37">
        <v>32</v>
      </c>
      <c r="B37" s="19">
        <v>46131</v>
      </c>
      <c r="C37" s="2" t="s">
        <v>18</v>
      </c>
      <c r="D37" s="122"/>
      <c r="E37" s="2">
        <v>475</v>
      </c>
      <c r="F37" s="118"/>
      <c r="G37" s="3">
        <f t="shared" si="0"/>
        <v>964.70588235294122</v>
      </c>
      <c r="H37" s="3">
        <f t="shared" si="1"/>
        <v>1000</v>
      </c>
      <c r="I37" s="3">
        <f t="shared" si="2"/>
        <v>2562.3529411764707</v>
      </c>
      <c r="J37" s="122"/>
      <c r="K37" s="118"/>
      <c r="L37" s="118"/>
      <c r="M37" s="118"/>
      <c r="N37" s="1">
        <v>3500</v>
      </c>
      <c r="O37" s="118"/>
      <c r="P37" s="118"/>
      <c r="Q37" s="118"/>
      <c r="R37" s="118"/>
      <c r="S37" s="118"/>
    </row>
    <row r="38" spans="1:19" x14ac:dyDescent="0.3">
      <c r="A38">
        <v>33</v>
      </c>
      <c r="B38" s="19">
        <v>46131</v>
      </c>
      <c r="C38" s="2" t="s">
        <v>19</v>
      </c>
      <c r="D38" s="122">
        <v>118</v>
      </c>
      <c r="E38" s="2">
        <v>475</v>
      </c>
      <c r="F38" s="118">
        <f>+D38*E38</f>
        <v>56050</v>
      </c>
      <c r="G38" s="3">
        <f t="shared" si="0"/>
        <v>964.70588235294122</v>
      </c>
      <c r="H38" s="3">
        <f t="shared" si="1"/>
        <v>1000</v>
      </c>
      <c r="I38" s="3">
        <f t="shared" si="2"/>
        <v>2562.3529411764707</v>
      </c>
      <c r="J38" s="118">
        <f>+F38+SUM(G38:I38)+SUM(G39:I39)</f>
        <v>65104.117647058825</v>
      </c>
      <c r="K38" s="118">
        <f>+J38/D38</f>
        <v>551.72981056829508</v>
      </c>
      <c r="L38" s="118">
        <v>610</v>
      </c>
      <c r="M38" s="118">
        <f>+D38*L38</f>
        <v>71980</v>
      </c>
      <c r="N38" s="1">
        <v>3000</v>
      </c>
      <c r="O38" s="118">
        <f>+M38+N38+N39</f>
        <v>77980</v>
      </c>
      <c r="P38" s="118">
        <f>+O38-J38</f>
        <v>12875.882352941175</v>
      </c>
      <c r="Q38" s="118">
        <f>+O38/D38</f>
        <v>660.84745762711862</v>
      </c>
      <c r="R38" s="118">
        <f>+Q38-K38</f>
        <v>109.11764705882354</v>
      </c>
      <c r="S38" s="118">
        <f>+R38*D38</f>
        <v>12875.882352941177</v>
      </c>
    </row>
    <row r="39" spans="1:19" x14ac:dyDescent="0.3">
      <c r="A39">
        <v>34</v>
      </c>
      <c r="B39" s="19">
        <v>46131</v>
      </c>
      <c r="C39" s="2" t="s">
        <v>19</v>
      </c>
      <c r="D39" s="122"/>
      <c r="E39" s="2">
        <v>475</v>
      </c>
      <c r="F39" s="118"/>
      <c r="G39" s="3">
        <f t="shared" si="0"/>
        <v>964.70588235294122</v>
      </c>
      <c r="H39" s="3">
        <f t="shared" si="1"/>
        <v>1000</v>
      </c>
      <c r="I39" s="3">
        <f t="shared" si="2"/>
        <v>2562.3529411764707</v>
      </c>
      <c r="J39" s="122"/>
      <c r="K39" s="118"/>
      <c r="L39" s="118"/>
      <c r="M39" s="118"/>
      <c r="N39" s="1">
        <v>3000</v>
      </c>
      <c r="O39" s="118"/>
      <c r="P39" s="118"/>
      <c r="Q39" s="118"/>
      <c r="R39" s="118"/>
      <c r="S39" s="118"/>
    </row>
    <row r="40" spans="1:19" x14ac:dyDescent="0.3">
      <c r="A40">
        <v>35</v>
      </c>
      <c r="B40" s="19">
        <v>46131</v>
      </c>
      <c r="C40" s="2" t="s">
        <v>54</v>
      </c>
      <c r="D40" s="122">
        <v>123</v>
      </c>
      <c r="E40" s="2">
        <v>475</v>
      </c>
      <c r="F40" s="118">
        <f>+D40*E40</f>
        <v>58425</v>
      </c>
      <c r="G40" s="3">
        <f t="shared" si="0"/>
        <v>964.70588235294122</v>
      </c>
      <c r="H40" s="3">
        <f t="shared" si="1"/>
        <v>1000</v>
      </c>
      <c r="I40" s="3">
        <f t="shared" si="2"/>
        <v>2562.3529411764707</v>
      </c>
      <c r="J40" s="126">
        <f>+F40+SUM(G40:I41)</f>
        <v>67479.117647058825</v>
      </c>
      <c r="K40" s="118">
        <f>+J40/D40</f>
        <v>548.61071257771403</v>
      </c>
      <c r="L40" s="118">
        <v>626</v>
      </c>
      <c r="M40" s="118">
        <f>+D40*L40</f>
        <v>76998</v>
      </c>
      <c r="N40" s="1">
        <v>3500</v>
      </c>
      <c r="O40" s="118">
        <f>+M40+N40+N41</f>
        <v>83998</v>
      </c>
      <c r="P40" s="118">
        <f>+O40-J40</f>
        <v>16518.882352941175</v>
      </c>
      <c r="Q40" s="118">
        <f>+O40/D40</f>
        <v>682.91056910569102</v>
      </c>
      <c r="R40" s="118">
        <f>+Q40-K40</f>
        <v>134.299856527977</v>
      </c>
      <c r="S40" s="118">
        <f>+R40*D40</f>
        <v>16518.882352941171</v>
      </c>
    </row>
    <row r="41" spans="1:19" x14ac:dyDescent="0.3">
      <c r="A41">
        <v>36</v>
      </c>
      <c r="B41" s="19">
        <v>46131</v>
      </c>
      <c r="C41" s="2" t="s">
        <v>54</v>
      </c>
      <c r="D41" s="122"/>
      <c r="E41" s="2">
        <v>475</v>
      </c>
      <c r="F41" s="118"/>
      <c r="G41" s="3">
        <f t="shared" si="0"/>
        <v>964.70588235294122</v>
      </c>
      <c r="H41" s="3">
        <f t="shared" si="1"/>
        <v>1000</v>
      </c>
      <c r="I41" s="3">
        <f t="shared" si="2"/>
        <v>2562.3529411764707</v>
      </c>
      <c r="J41" s="126"/>
      <c r="K41" s="118"/>
      <c r="L41" s="118"/>
      <c r="M41" s="118"/>
      <c r="N41" s="1">
        <v>3500</v>
      </c>
      <c r="O41" s="118"/>
      <c r="P41" s="118"/>
      <c r="Q41" s="118"/>
      <c r="R41" s="118"/>
      <c r="S41" s="118"/>
    </row>
    <row r="42" spans="1:19" x14ac:dyDescent="0.3">
      <c r="A42">
        <v>37</v>
      </c>
      <c r="B42" s="19">
        <v>46134</v>
      </c>
      <c r="C42" s="2" t="s">
        <v>55</v>
      </c>
      <c r="D42" s="122">
        <v>226</v>
      </c>
      <c r="E42" s="2">
        <v>475</v>
      </c>
      <c r="F42" s="118">
        <f>+D42*E42</f>
        <v>107350</v>
      </c>
      <c r="G42" s="3">
        <f t="shared" si="0"/>
        <v>964.70588235294122</v>
      </c>
      <c r="H42" s="3">
        <f t="shared" si="1"/>
        <v>1000</v>
      </c>
      <c r="I42" s="3">
        <f t="shared" si="2"/>
        <v>2562.3529411764707</v>
      </c>
      <c r="J42" s="122">
        <f>+SUM(F42+SUM(G42:I44))</f>
        <v>120931.17647058824</v>
      </c>
      <c r="K42" s="118">
        <f>+J42/D42</f>
        <v>535.09370119729306</v>
      </c>
      <c r="L42" s="118">
        <v>600</v>
      </c>
      <c r="M42" s="118">
        <f>+D42*L42</f>
        <v>135600</v>
      </c>
      <c r="N42" s="1">
        <v>3000</v>
      </c>
      <c r="O42" s="118">
        <f>+M42+SUM(N42:N44)</f>
        <v>144600</v>
      </c>
      <c r="P42" s="118">
        <f>+O42-J42</f>
        <v>23668.823529411762</v>
      </c>
      <c r="Q42" s="118">
        <f>+O42/D42</f>
        <v>639.82300884955748</v>
      </c>
      <c r="R42" s="118">
        <f>+Q42-K42</f>
        <v>104.72930765226442</v>
      </c>
      <c r="S42" s="118">
        <f>+R42*D42</f>
        <v>23668.823529411758</v>
      </c>
    </row>
    <row r="43" spans="1:19" x14ac:dyDescent="0.3">
      <c r="A43">
        <v>38</v>
      </c>
      <c r="B43" s="19">
        <v>46134</v>
      </c>
      <c r="C43" s="2" t="s">
        <v>55</v>
      </c>
      <c r="D43" s="122"/>
      <c r="E43" s="2">
        <v>475</v>
      </c>
      <c r="F43" s="118"/>
      <c r="G43" s="3">
        <f t="shared" si="0"/>
        <v>964.70588235294122</v>
      </c>
      <c r="H43" s="3">
        <f t="shared" si="1"/>
        <v>1000</v>
      </c>
      <c r="I43" s="3">
        <f t="shared" si="2"/>
        <v>2562.3529411764707</v>
      </c>
      <c r="J43" s="122"/>
      <c r="K43" s="118"/>
      <c r="L43" s="118"/>
      <c r="M43" s="118"/>
      <c r="N43" s="1">
        <v>3000</v>
      </c>
      <c r="O43" s="118"/>
      <c r="P43" s="118"/>
      <c r="Q43" s="118"/>
      <c r="R43" s="118"/>
      <c r="S43" s="118"/>
    </row>
    <row r="44" spans="1:19" x14ac:dyDescent="0.3">
      <c r="A44">
        <v>39</v>
      </c>
      <c r="B44" s="19">
        <v>46134</v>
      </c>
      <c r="C44" s="2" t="s">
        <v>55</v>
      </c>
      <c r="D44" s="122"/>
      <c r="E44" s="2">
        <v>475</v>
      </c>
      <c r="F44" s="118"/>
      <c r="G44" s="3">
        <f t="shared" si="0"/>
        <v>964.70588235294122</v>
      </c>
      <c r="H44" s="3">
        <f t="shared" si="1"/>
        <v>1000</v>
      </c>
      <c r="I44" s="3">
        <f t="shared" si="2"/>
        <v>2562.3529411764707</v>
      </c>
      <c r="J44" s="122"/>
      <c r="K44" s="118"/>
      <c r="L44" s="118"/>
      <c r="M44" s="118"/>
      <c r="N44" s="1">
        <v>3000</v>
      </c>
      <c r="O44" s="118"/>
      <c r="P44" s="118"/>
      <c r="Q44" s="118"/>
      <c r="R44" s="118"/>
      <c r="S44" s="118"/>
    </row>
    <row r="45" spans="1:19" x14ac:dyDescent="0.3">
      <c r="A45">
        <v>40</v>
      </c>
      <c r="B45" s="19">
        <v>46137</v>
      </c>
      <c r="C45" s="2" t="s">
        <v>56</v>
      </c>
      <c r="D45" s="122">
        <v>377</v>
      </c>
      <c r="E45" s="2">
        <v>475</v>
      </c>
      <c r="F45" s="118">
        <f>+D45*E45</f>
        <v>179075</v>
      </c>
      <c r="G45" s="3">
        <f t="shared" si="0"/>
        <v>964.70588235294122</v>
      </c>
      <c r="H45" s="3">
        <f t="shared" si="1"/>
        <v>1000</v>
      </c>
      <c r="I45" s="3">
        <f t="shared" si="2"/>
        <v>2562.3529411764707</v>
      </c>
      <c r="J45" s="126">
        <f>+F45+SUM(G45:I49)</f>
        <v>201710.29411764705</v>
      </c>
      <c r="K45" s="118">
        <f>+J45/D45</f>
        <v>535.04056795131839</v>
      </c>
      <c r="L45" s="118">
        <v>588.86</v>
      </c>
      <c r="M45" s="118">
        <f>+L45*D45</f>
        <v>222000.22</v>
      </c>
      <c r="N45" s="1">
        <v>2400</v>
      </c>
      <c r="O45" s="118">
        <f>+M45+SUM(N45:N49)</f>
        <v>234000.22</v>
      </c>
      <c r="P45" s="118">
        <f>+O45-J45</f>
        <v>32289.925882352953</v>
      </c>
      <c r="Q45" s="118">
        <f>+O45/D45</f>
        <v>620.69023872679043</v>
      </c>
      <c r="R45" s="118">
        <f>+Q45-K45</f>
        <v>85.649670775472032</v>
      </c>
      <c r="S45" s="118">
        <f>+R45*D45</f>
        <v>32289.925882352956</v>
      </c>
    </row>
    <row r="46" spans="1:19" x14ac:dyDescent="0.3">
      <c r="A46">
        <v>41</v>
      </c>
      <c r="B46" s="19">
        <v>46137</v>
      </c>
      <c r="C46" s="2" t="s">
        <v>56</v>
      </c>
      <c r="D46" s="122"/>
      <c r="E46" s="2">
        <v>475</v>
      </c>
      <c r="F46" s="118"/>
      <c r="G46" s="3">
        <f t="shared" si="0"/>
        <v>964.70588235294122</v>
      </c>
      <c r="H46" s="3">
        <f t="shared" si="1"/>
        <v>1000</v>
      </c>
      <c r="I46" s="3">
        <f t="shared" si="2"/>
        <v>2562.3529411764707</v>
      </c>
      <c r="J46" s="122"/>
      <c r="K46" s="118"/>
      <c r="L46" s="118"/>
      <c r="M46" s="118"/>
      <c r="N46" s="1">
        <v>2400</v>
      </c>
      <c r="O46" s="118"/>
      <c r="P46" s="118"/>
      <c r="Q46" s="118"/>
      <c r="R46" s="118"/>
      <c r="S46" s="118"/>
    </row>
    <row r="47" spans="1:19" x14ac:dyDescent="0.3">
      <c r="A47">
        <v>42</v>
      </c>
      <c r="B47" s="19">
        <v>46137</v>
      </c>
      <c r="C47" s="2" t="s">
        <v>56</v>
      </c>
      <c r="D47" s="122"/>
      <c r="E47" s="2">
        <v>475</v>
      </c>
      <c r="F47" s="118"/>
      <c r="G47" s="3">
        <f t="shared" si="0"/>
        <v>964.70588235294122</v>
      </c>
      <c r="H47" s="3">
        <f t="shared" si="1"/>
        <v>1000</v>
      </c>
      <c r="I47" s="3">
        <f t="shared" si="2"/>
        <v>2562.3529411764707</v>
      </c>
      <c r="J47" s="122"/>
      <c r="K47" s="118"/>
      <c r="L47" s="118"/>
      <c r="M47" s="118"/>
      <c r="N47" s="1">
        <v>2400</v>
      </c>
      <c r="O47" s="118"/>
      <c r="P47" s="118"/>
      <c r="Q47" s="118"/>
      <c r="R47" s="118"/>
      <c r="S47" s="118"/>
    </row>
    <row r="48" spans="1:19" x14ac:dyDescent="0.3">
      <c r="A48">
        <v>43</v>
      </c>
      <c r="B48" s="19">
        <v>46137</v>
      </c>
      <c r="C48" s="2" t="s">
        <v>56</v>
      </c>
      <c r="D48" s="122"/>
      <c r="E48" s="2">
        <v>475</v>
      </c>
      <c r="F48" s="118"/>
      <c r="G48" s="3">
        <f t="shared" si="0"/>
        <v>964.70588235294122</v>
      </c>
      <c r="H48" s="3">
        <f t="shared" si="1"/>
        <v>1000</v>
      </c>
      <c r="I48" s="3">
        <f t="shared" si="2"/>
        <v>2562.3529411764707</v>
      </c>
      <c r="J48" s="122"/>
      <c r="K48" s="118"/>
      <c r="L48" s="118"/>
      <c r="M48" s="118"/>
      <c r="N48" s="1">
        <v>2400</v>
      </c>
      <c r="O48" s="118"/>
      <c r="P48" s="118"/>
      <c r="Q48" s="118"/>
      <c r="R48" s="118"/>
      <c r="S48" s="118"/>
    </row>
    <row r="49" spans="1:19" x14ac:dyDescent="0.3">
      <c r="A49">
        <v>44</v>
      </c>
      <c r="B49" s="19">
        <v>46137</v>
      </c>
      <c r="C49" s="2" t="s">
        <v>56</v>
      </c>
      <c r="D49" s="122"/>
      <c r="E49" s="2">
        <v>475</v>
      </c>
      <c r="F49" s="118"/>
      <c r="G49" s="3">
        <f t="shared" si="0"/>
        <v>964.70588235294122</v>
      </c>
      <c r="H49" s="3">
        <f t="shared" si="1"/>
        <v>1000</v>
      </c>
      <c r="I49" s="3">
        <f t="shared" si="2"/>
        <v>2562.3529411764707</v>
      </c>
      <c r="J49" s="122"/>
      <c r="K49" s="118"/>
      <c r="L49" s="118"/>
      <c r="M49" s="118"/>
      <c r="N49" s="1">
        <v>2400</v>
      </c>
      <c r="O49" s="118"/>
      <c r="P49" s="118"/>
      <c r="Q49" s="118"/>
      <c r="R49" s="118"/>
      <c r="S49" s="118"/>
    </row>
    <row r="50" spans="1:19" x14ac:dyDescent="0.3">
      <c r="A50">
        <v>45</v>
      </c>
      <c r="B50" s="19">
        <v>46138</v>
      </c>
      <c r="C50" s="2" t="s">
        <v>57</v>
      </c>
      <c r="D50" s="14">
        <v>79</v>
      </c>
      <c r="E50" s="2">
        <v>475</v>
      </c>
      <c r="F50" s="15">
        <f>+D50*E50</f>
        <v>37525</v>
      </c>
      <c r="G50" s="3">
        <f t="shared" si="0"/>
        <v>964.70588235294122</v>
      </c>
      <c r="H50" s="3">
        <f t="shared" si="1"/>
        <v>1000</v>
      </c>
      <c r="I50" s="3">
        <f t="shared" si="2"/>
        <v>2562.3529411764707</v>
      </c>
      <c r="J50" s="18">
        <f>++SUM(F50:I50)</f>
        <v>42052.058823529413</v>
      </c>
      <c r="K50" s="15">
        <f>+J50/D50</f>
        <v>532.30454206999252</v>
      </c>
      <c r="L50" s="15">
        <v>595</v>
      </c>
      <c r="M50" s="15">
        <f>+L50*D50</f>
        <v>47005</v>
      </c>
      <c r="N50" s="1">
        <v>2000</v>
      </c>
      <c r="O50" s="15">
        <f>+M50+N50</f>
        <v>49005</v>
      </c>
      <c r="P50" s="15">
        <f>+O50-J50</f>
        <v>6952.9411764705874</v>
      </c>
      <c r="Q50" s="15">
        <f>+O50/D50</f>
        <v>620.31645569620252</v>
      </c>
      <c r="R50" s="15">
        <f>+Q50-K50</f>
        <v>88.011913626210003</v>
      </c>
      <c r="S50" s="15">
        <f>+R50*D50</f>
        <v>6952.9411764705901</v>
      </c>
    </row>
    <row r="51" spans="1:19" x14ac:dyDescent="0.3">
      <c r="A51">
        <v>46</v>
      </c>
      <c r="B51" s="19">
        <v>46138</v>
      </c>
      <c r="C51" s="2" t="s">
        <v>58</v>
      </c>
      <c r="D51" s="122">
        <v>208</v>
      </c>
      <c r="E51" s="2">
        <v>475</v>
      </c>
      <c r="F51" s="118">
        <f>+D51*E51</f>
        <v>98800</v>
      </c>
      <c r="G51" s="3">
        <f t="shared" si="0"/>
        <v>964.70588235294122</v>
      </c>
      <c r="H51" s="3">
        <f t="shared" si="1"/>
        <v>1000</v>
      </c>
      <c r="I51" s="3">
        <f t="shared" si="2"/>
        <v>2562.3529411764707</v>
      </c>
      <c r="J51" s="126">
        <f>+F51+SUM(G51:I53)</f>
        <v>112381.17647058824</v>
      </c>
      <c r="K51" s="118">
        <f>+J51/D51</f>
        <v>540.29411764705878</v>
      </c>
      <c r="L51" s="118">
        <v>580</v>
      </c>
      <c r="M51" s="118">
        <f>+L51*D51</f>
        <v>120640</v>
      </c>
      <c r="N51" s="1">
        <v>2700</v>
      </c>
      <c r="O51" s="118">
        <f>+M51+SUM(N51:N53)</f>
        <v>128740</v>
      </c>
      <c r="P51" s="118">
        <f>+O51-J51</f>
        <v>16358.823529411762</v>
      </c>
      <c r="Q51" s="118">
        <f>+O51/D51</f>
        <v>618.94230769230774</v>
      </c>
      <c r="R51" s="118">
        <f>+Q51-K51</f>
        <v>78.648190045248953</v>
      </c>
      <c r="S51" s="118">
        <f>+R51*D51</f>
        <v>16358.823529411782</v>
      </c>
    </row>
    <row r="52" spans="1:19" x14ac:dyDescent="0.3">
      <c r="A52">
        <v>47</v>
      </c>
      <c r="B52" s="19">
        <v>46138</v>
      </c>
      <c r="C52" s="2" t="s">
        <v>58</v>
      </c>
      <c r="D52" s="122"/>
      <c r="E52" s="2">
        <v>475</v>
      </c>
      <c r="F52" s="118"/>
      <c r="G52" s="3">
        <f t="shared" si="0"/>
        <v>964.70588235294122</v>
      </c>
      <c r="H52" s="3">
        <f t="shared" si="1"/>
        <v>1000</v>
      </c>
      <c r="I52" s="3">
        <f t="shared" si="2"/>
        <v>2562.3529411764707</v>
      </c>
      <c r="J52" s="122"/>
      <c r="K52" s="118"/>
      <c r="L52" s="118"/>
      <c r="M52" s="118"/>
      <c r="N52" s="1">
        <v>2700</v>
      </c>
      <c r="O52" s="118"/>
      <c r="P52" s="118"/>
      <c r="Q52" s="118"/>
      <c r="R52" s="118"/>
      <c r="S52" s="118"/>
    </row>
    <row r="53" spans="1:19" x14ac:dyDescent="0.3">
      <c r="A53">
        <v>48</v>
      </c>
      <c r="B53" s="19">
        <v>46138</v>
      </c>
      <c r="C53" s="2" t="s">
        <v>58</v>
      </c>
      <c r="D53" s="122"/>
      <c r="E53" s="2">
        <v>475</v>
      </c>
      <c r="F53" s="118"/>
      <c r="G53" s="3">
        <f t="shared" si="0"/>
        <v>964.70588235294122</v>
      </c>
      <c r="H53" s="3">
        <f t="shared" si="1"/>
        <v>1000</v>
      </c>
      <c r="I53" s="3">
        <f t="shared" si="2"/>
        <v>2562.3529411764707</v>
      </c>
      <c r="J53" s="122"/>
      <c r="K53" s="118"/>
      <c r="L53" s="118"/>
      <c r="M53" s="118"/>
      <c r="N53" s="1">
        <v>2700</v>
      </c>
      <c r="O53" s="118"/>
      <c r="P53" s="118"/>
      <c r="Q53" s="118"/>
      <c r="R53" s="118"/>
      <c r="S53" s="118"/>
    </row>
    <row r="54" spans="1:19" x14ac:dyDescent="0.3">
      <c r="A54">
        <v>49</v>
      </c>
      <c r="B54" s="19">
        <v>46138</v>
      </c>
      <c r="C54" s="2" t="s">
        <v>50</v>
      </c>
      <c r="D54" s="122">
        <v>276</v>
      </c>
      <c r="E54" s="2">
        <v>475</v>
      </c>
      <c r="F54" s="118">
        <f>+D54*E54</f>
        <v>131100</v>
      </c>
      <c r="G54" s="3">
        <f t="shared" si="0"/>
        <v>964.70588235294122</v>
      </c>
      <c r="H54" s="3">
        <f t="shared" si="1"/>
        <v>1000</v>
      </c>
      <c r="I54" s="3">
        <f t="shared" si="2"/>
        <v>2562.3529411764707</v>
      </c>
      <c r="J54" s="126">
        <f>+F54+SUM(G54:I57)</f>
        <v>149208.23529411765</v>
      </c>
      <c r="K54" s="118">
        <f>+J54/D54</f>
        <v>540.60954816709295</v>
      </c>
      <c r="L54" s="118">
        <v>590</v>
      </c>
      <c r="M54" s="118">
        <f>+L54*D54</f>
        <v>162840</v>
      </c>
      <c r="N54" s="1">
        <v>2875</v>
      </c>
      <c r="O54" s="118">
        <f>+M54+SUM(N54:N57)</f>
        <v>174340</v>
      </c>
      <c r="P54" s="118">
        <f>+O54-J54</f>
        <v>25131.76470588235</v>
      </c>
      <c r="Q54" s="118">
        <f>+O54/D54</f>
        <v>631.66666666666663</v>
      </c>
      <c r="R54" s="118">
        <f>+Q54-K54</f>
        <v>91.057118499573676</v>
      </c>
      <c r="S54" s="118">
        <f>+R54*D54</f>
        <v>25131.764705882335</v>
      </c>
    </row>
    <row r="55" spans="1:19" x14ac:dyDescent="0.3">
      <c r="A55">
        <v>50</v>
      </c>
      <c r="B55" s="19">
        <v>46138</v>
      </c>
      <c r="C55" s="2" t="s">
        <v>50</v>
      </c>
      <c r="D55" s="122"/>
      <c r="E55" s="2">
        <v>475</v>
      </c>
      <c r="F55" s="118"/>
      <c r="G55" s="3">
        <f t="shared" si="0"/>
        <v>964.70588235294122</v>
      </c>
      <c r="H55" s="3">
        <f t="shared" si="1"/>
        <v>1000</v>
      </c>
      <c r="I55" s="3">
        <f t="shared" si="2"/>
        <v>2562.3529411764707</v>
      </c>
      <c r="J55" s="122"/>
      <c r="K55" s="118"/>
      <c r="L55" s="118"/>
      <c r="M55" s="118"/>
      <c r="N55" s="1">
        <v>2875</v>
      </c>
      <c r="O55" s="118"/>
      <c r="P55" s="118"/>
      <c r="Q55" s="118"/>
      <c r="R55" s="118"/>
      <c r="S55" s="118"/>
    </row>
    <row r="56" spans="1:19" x14ac:dyDescent="0.3">
      <c r="A56">
        <v>51</v>
      </c>
      <c r="B56" s="19">
        <v>46138</v>
      </c>
      <c r="C56" s="2" t="s">
        <v>50</v>
      </c>
      <c r="D56" s="122"/>
      <c r="E56" s="2">
        <v>475</v>
      </c>
      <c r="F56" s="118"/>
      <c r="G56" s="3">
        <f t="shared" si="0"/>
        <v>964.70588235294122</v>
      </c>
      <c r="H56" s="3">
        <f t="shared" si="1"/>
        <v>1000</v>
      </c>
      <c r="I56" s="3">
        <f t="shared" si="2"/>
        <v>2562.3529411764707</v>
      </c>
      <c r="J56" s="122"/>
      <c r="K56" s="118"/>
      <c r="L56" s="118"/>
      <c r="M56" s="118"/>
      <c r="N56" s="1">
        <v>2875</v>
      </c>
      <c r="O56" s="118"/>
      <c r="P56" s="118"/>
      <c r="Q56" s="118"/>
      <c r="R56" s="118"/>
      <c r="S56" s="118"/>
    </row>
    <row r="57" spans="1:19" x14ac:dyDescent="0.3">
      <c r="A57">
        <v>52</v>
      </c>
      <c r="B57" s="19">
        <v>46138</v>
      </c>
      <c r="C57" s="2" t="s">
        <v>50</v>
      </c>
      <c r="D57" s="122"/>
      <c r="E57" s="2">
        <v>475</v>
      </c>
      <c r="F57" s="118"/>
      <c r="G57" s="3">
        <f t="shared" si="0"/>
        <v>964.70588235294122</v>
      </c>
      <c r="H57" s="3">
        <f t="shared" si="1"/>
        <v>1000</v>
      </c>
      <c r="I57" s="3">
        <f t="shared" si="2"/>
        <v>2562.3529411764707</v>
      </c>
      <c r="J57" s="122"/>
      <c r="K57" s="118"/>
      <c r="L57" s="118"/>
      <c r="M57" s="118"/>
      <c r="N57" s="1">
        <v>2875</v>
      </c>
      <c r="O57" s="118"/>
      <c r="P57" s="118"/>
      <c r="Q57" s="118"/>
      <c r="R57" s="118"/>
      <c r="S57" s="118"/>
    </row>
    <row r="58" spans="1:19" x14ac:dyDescent="0.3">
      <c r="A58" s="43">
        <v>53</v>
      </c>
      <c r="B58" s="44">
        <v>46138</v>
      </c>
      <c r="C58" s="7" t="s">
        <v>59</v>
      </c>
      <c r="D58" s="124">
        <v>131.5</v>
      </c>
      <c r="E58" s="7">
        <v>475</v>
      </c>
      <c r="F58" s="119">
        <f>+D58*E58</f>
        <v>62462.5</v>
      </c>
      <c r="G58" s="8">
        <f t="shared" si="0"/>
        <v>964.70588235294122</v>
      </c>
      <c r="H58" s="8">
        <f t="shared" si="1"/>
        <v>1000</v>
      </c>
      <c r="I58" s="8">
        <f t="shared" si="2"/>
        <v>2562.3529411764707</v>
      </c>
      <c r="J58" s="128">
        <f>+F58+SUM(G58:I59)</f>
        <v>71516.617647058825</v>
      </c>
      <c r="K58" s="119">
        <f>+J58/D58</f>
        <v>543.85260568105571</v>
      </c>
      <c r="L58" s="119">
        <v>577.95000000000005</v>
      </c>
      <c r="M58" s="119">
        <f>+L58*D58</f>
        <v>76000.425000000003</v>
      </c>
      <c r="N58" s="1">
        <v>3000</v>
      </c>
      <c r="O58" s="119">
        <f>+M58+N58+N59</f>
        <v>82000.425000000003</v>
      </c>
      <c r="P58" s="119">
        <f>+O58-J58</f>
        <v>10483.807352941178</v>
      </c>
      <c r="Q58" s="119">
        <f>+O58/D58</f>
        <v>623.5773764258555</v>
      </c>
      <c r="R58" s="119">
        <f>+Q58-K58</f>
        <v>79.724770744799798</v>
      </c>
      <c r="S58" s="119">
        <f>+R58*D58</f>
        <v>10483.807352941174</v>
      </c>
    </row>
    <row r="59" spans="1:19" x14ac:dyDescent="0.3">
      <c r="A59" s="43">
        <v>54</v>
      </c>
      <c r="B59" s="44">
        <v>46138</v>
      </c>
      <c r="C59" s="7" t="s">
        <v>59</v>
      </c>
      <c r="D59" s="124"/>
      <c r="E59" s="7">
        <v>475</v>
      </c>
      <c r="F59" s="119"/>
      <c r="G59" s="8">
        <f t="shared" si="0"/>
        <v>964.70588235294122</v>
      </c>
      <c r="H59" s="8">
        <f t="shared" si="1"/>
        <v>1000</v>
      </c>
      <c r="I59" s="8">
        <f t="shared" si="2"/>
        <v>2562.3529411764707</v>
      </c>
      <c r="J59" s="124"/>
      <c r="K59" s="119"/>
      <c r="L59" s="119"/>
      <c r="M59" s="119"/>
      <c r="N59" s="1">
        <v>3000</v>
      </c>
      <c r="O59" s="119"/>
      <c r="P59" s="119"/>
      <c r="Q59" s="119"/>
      <c r="R59" s="119"/>
      <c r="S59" s="119"/>
    </row>
    <row r="60" spans="1:19" x14ac:dyDescent="0.3">
      <c r="A60">
        <v>55</v>
      </c>
      <c r="B60" s="19">
        <v>46142</v>
      </c>
      <c r="C60" s="2" t="s">
        <v>60</v>
      </c>
      <c r="D60" s="122">
        <v>177.5</v>
      </c>
      <c r="E60" s="2">
        <v>475</v>
      </c>
      <c r="F60" s="118">
        <f>+D60*E60</f>
        <v>84312.5</v>
      </c>
      <c r="G60" s="3">
        <f t="shared" si="0"/>
        <v>964.70588235294122</v>
      </c>
      <c r="H60" s="3">
        <f t="shared" si="1"/>
        <v>1000</v>
      </c>
      <c r="I60" s="3">
        <f t="shared" si="2"/>
        <v>2562.3529411764707</v>
      </c>
      <c r="J60" s="126">
        <f>+F60+SUM(G60:I61)</f>
        <v>93366.617647058825</v>
      </c>
      <c r="K60" s="118">
        <f>+J60/D60</f>
        <v>526.00911350455681</v>
      </c>
      <c r="L60" s="118">
        <v>580.28169014084506</v>
      </c>
      <c r="M60" s="118">
        <f>+L60*D60</f>
        <v>103000</v>
      </c>
      <c r="N60" s="1">
        <v>1500</v>
      </c>
      <c r="O60" s="118">
        <f>+M60+N61+N60</f>
        <v>106000</v>
      </c>
      <c r="P60" s="118">
        <f>+O60-J60</f>
        <v>12633.382352941175</v>
      </c>
      <c r="Q60" s="118">
        <f>+O60/D60</f>
        <v>597.18309859154931</v>
      </c>
      <c r="R60" s="118">
        <f>+Q60-K60</f>
        <v>71.173985086992502</v>
      </c>
      <c r="S60" s="118">
        <f>+R60*D60</f>
        <v>12633.382352941169</v>
      </c>
    </row>
    <row r="61" spans="1:19" x14ac:dyDescent="0.3">
      <c r="A61">
        <v>56</v>
      </c>
      <c r="B61" s="19">
        <v>46142</v>
      </c>
      <c r="C61" s="2" t="s">
        <v>60</v>
      </c>
      <c r="D61" s="122"/>
      <c r="E61" s="2">
        <v>475</v>
      </c>
      <c r="F61" s="118"/>
      <c r="G61" s="3">
        <f t="shared" si="0"/>
        <v>964.70588235294122</v>
      </c>
      <c r="H61" s="3">
        <f t="shared" si="1"/>
        <v>1000</v>
      </c>
      <c r="I61" s="3">
        <f t="shared" si="2"/>
        <v>2562.3529411764707</v>
      </c>
      <c r="J61" s="122"/>
      <c r="K61" s="118"/>
      <c r="L61" s="118"/>
      <c r="M61" s="118"/>
      <c r="N61" s="1">
        <v>1500</v>
      </c>
      <c r="O61" s="118"/>
      <c r="P61" s="118"/>
      <c r="Q61" s="118"/>
      <c r="R61" s="118"/>
      <c r="S61" s="118"/>
    </row>
    <row r="62" spans="1:19" x14ac:dyDescent="0.3">
      <c r="A62">
        <v>57</v>
      </c>
      <c r="B62" s="19">
        <v>46142</v>
      </c>
      <c r="C62" s="2" t="s">
        <v>61</v>
      </c>
      <c r="D62" s="122">
        <v>460</v>
      </c>
      <c r="E62" s="2">
        <v>475</v>
      </c>
      <c r="F62" s="118">
        <f>+D62*E62</f>
        <v>218500</v>
      </c>
      <c r="G62" s="3">
        <f t="shared" si="0"/>
        <v>964.70588235294122</v>
      </c>
      <c r="H62" s="3">
        <f t="shared" si="1"/>
        <v>1000</v>
      </c>
      <c r="I62" s="3">
        <f t="shared" si="2"/>
        <v>2562.3529411764707</v>
      </c>
      <c r="J62" s="126">
        <f>+F62+SUM(G62:I67)</f>
        <v>245662.35294117648</v>
      </c>
      <c r="K62" s="118">
        <f>+J62/D62</f>
        <v>534.04859335038361</v>
      </c>
      <c r="L62" s="118">
        <v>625</v>
      </c>
      <c r="M62" s="118">
        <f>+L62*D62</f>
        <v>287500</v>
      </c>
      <c r="N62" s="1">
        <v>2200</v>
      </c>
      <c r="O62" s="118">
        <f>+M62+SUM(N62:N67)</f>
        <v>300700</v>
      </c>
      <c r="P62" s="118">
        <f>+O62-J62</f>
        <v>55037.647058823524</v>
      </c>
      <c r="Q62" s="118">
        <f>+O62/D62</f>
        <v>653.695652173913</v>
      </c>
      <c r="R62" s="118">
        <f>+Q62-K62</f>
        <v>119.64705882352939</v>
      </c>
      <c r="S62" s="118">
        <f>+R62*D62</f>
        <v>55037.647058823517</v>
      </c>
    </row>
    <row r="63" spans="1:19" x14ac:dyDescent="0.3">
      <c r="A63">
        <v>58</v>
      </c>
      <c r="B63" s="19">
        <v>46142</v>
      </c>
      <c r="C63" s="2" t="s">
        <v>61</v>
      </c>
      <c r="D63" s="122"/>
      <c r="E63" s="2">
        <v>475</v>
      </c>
      <c r="F63" s="118"/>
      <c r="G63" s="3">
        <f t="shared" si="0"/>
        <v>964.70588235294122</v>
      </c>
      <c r="H63" s="3">
        <f t="shared" si="1"/>
        <v>1000</v>
      </c>
      <c r="I63" s="3">
        <f t="shared" si="2"/>
        <v>2562.3529411764707</v>
      </c>
      <c r="J63" s="122"/>
      <c r="K63" s="118"/>
      <c r="L63" s="118"/>
      <c r="M63" s="118"/>
      <c r="N63" s="1">
        <v>2200</v>
      </c>
      <c r="O63" s="118"/>
      <c r="P63" s="118"/>
      <c r="Q63" s="118"/>
      <c r="R63" s="118"/>
      <c r="S63" s="118"/>
    </row>
    <row r="64" spans="1:19" x14ac:dyDescent="0.3">
      <c r="A64">
        <v>59</v>
      </c>
      <c r="B64" s="19">
        <v>46142</v>
      </c>
      <c r="C64" s="2" t="s">
        <v>61</v>
      </c>
      <c r="D64" s="122"/>
      <c r="E64" s="2">
        <v>475</v>
      </c>
      <c r="F64" s="118"/>
      <c r="G64" s="3">
        <f t="shared" si="0"/>
        <v>964.70588235294122</v>
      </c>
      <c r="H64" s="3">
        <f t="shared" si="1"/>
        <v>1000</v>
      </c>
      <c r="I64" s="3">
        <f t="shared" si="2"/>
        <v>2562.3529411764707</v>
      </c>
      <c r="J64" s="122"/>
      <c r="K64" s="118"/>
      <c r="L64" s="118"/>
      <c r="M64" s="118"/>
      <c r="N64" s="1">
        <v>2200</v>
      </c>
      <c r="O64" s="118"/>
      <c r="P64" s="118"/>
      <c r="Q64" s="118"/>
      <c r="R64" s="118"/>
      <c r="S64" s="118"/>
    </row>
    <row r="65" spans="1:19" x14ac:dyDescent="0.3">
      <c r="A65">
        <v>60</v>
      </c>
      <c r="B65" s="19">
        <v>46142</v>
      </c>
      <c r="C65" s="2" t="s">
        <v>61</v>
      </c>
      <c r="D65" s="122"/>
      <c r="E65" s="2">
        <v>475</v>
      </c>
      <c r="F65" s="118"/>
      <c r="G65" s="3">
        <f t="shared" si="0"/>
        <v>964.70588235294122</v>
      </c>
      <c r="H65" s="3">
        <f t="shared" si="1"/>
        <v>1000</v>
      </c>
      <c r="I65" s="3">
        <f t="shared" si="2"/>
        <v>2562.3529411764707</v>
      </c>
      <c r="J65" s="122"/>
      <c r="K65" s="118"/>
      <c r="L65" s="118"/>
      <c r="M65" s="118"/>
      <c r="N65" s="1">
        <v>2200</v>
      </c>
      <c r="O65" s="118"/>
      <c r="P65" s="118"/>
      <c r="Q65" s="118"/>
      <c r="R65" s="118"/>
      <c r="S65" s="118"/>
    </row>
    <row r="66" spans="1:19" x14ac:dyDescent="0.3">
      <c r="A66">
        <v>61</v>
      </c>
      <c r="B66" s="19">
        <v>46142</v>
      </c>
      <c r="C66" s="2" t="s">
        <v>61</v>
      </c>
      <c r="D66" s="122"/>
      <c r="E66" s="2">
        <v>475</v>
      </c>
      <c r="F66" s="118"/>
      <c r="G66" s="3">
        <f t="shared" si="0"/>
        <v>964.70588235294122</v>
      </c>
      <c r="H66" s="3">
        <f t="shared" si="1"/>
        <v>1000</v>
      </c>
      <c r="I66" s="3">
        <f t="shared" si="2"/>
        <v>2562.3529411764707</v>
      </c>
      <c r="J66" s="122"/>
      <c r="K66" s="118"/>
      <c r="L66" s="118"/>
      <c r="M66" s="118"/>
      <c r="N66" s="1">
        <v>2200</v>
      </c>
      <c r="O66" s="118"/>
      <c r="P66" s="118"/>
      <c r="Q66" s="118"/>
      <c r="R66" s="118"/>
      <c r="S66" s="118"/>
    </row>
    <row r="67" spans="1:19" x14ac:dyDescent="0.3">
      <c r="A67">
        <v>62</v>
      </c>
      <c r="B67" s="19">
        <v>46142</v>
      </c>
      <c r="C67" s="2" t="s">
        <v>61</v>
      </c>
      <c r="D67" s="122"/>
      <c r="E67" s="2">
        <v>475</v>
      </c>
      <c r="F67" s="118"/>
      <c r="G67" s="3">
        <f t="shared" si="0"/>
        <v>964.70588235294122</v>
      </c>
      <c r="H67" s="3">
        <f t="shared" si="1"/>
        <v>1000</v>
      </c>
      <c r="I67" s="3">
        <f t="shared" si="2"/>
        <v>2562.3529411764707</v>
      </c>
      <c r="J67" s="122"/>
      <c r="K67" s="118"/>
      <c r="L67" s="118"/>
      <c r="M67" s="118"/>
      <c r="N67" s="1">
        <v>2200</v>
      </c>
      <c r="O67" s="118"/>
      <c r="P67" s="118"/>
      <c r="Q67" s="118"/>
      <c r="R67" s="118"/>
      <c r="S67" s="118"/>
    </row>
    <row r="68" spans="1:19" x14ac:dyDescent="0.3">
      <c r="A68">
        <v>63</v>
      </c>
      <c r="B68" s="19">
        <v>46143</v>
      </c>
      <c r="C68" s="2" t="s">
        <v>62</v>
      </c>
      <c r="D68" s="14">
        <v>71</v>
      </c>
      <c r="E68" s="2">
        <v>475</v>
      </c>
      <c r="F68" s="15">
        <f>+D68*E68</f>
        <v>33725</v>
      </c>
      <c r="G68" s="3">
        <f t="shared" si="0"/>
        <v>964.70588235294122</v>
      </c>
      <c r="H68" s="3">
        <f t="shared" si="1"/>
        <v>1000</v>
      </c>
      <c r="I68" s="3">
        <f t="shared" si="2"/>
        <v>2562.3529411764707</v>
      </c>
      <c r="J68" s="18">
        <f>+SUM(F68:I68)</f>
        <v>38252.058823529413</v>
      </c>
      <c r="K68" s="15">
        <f>+J68/D68</f>
        <v>538.7613918806959</v>
      </c>
      <c r="L68" s="15">
        <f>+M68/D68</f>
        <v>600</v>
      </c>
      <c r="M68" s="15">
        <v>42600</v>
      </c>
      <c r="N68" s="1">
        <v>2400</v>
      </c>
      <c r="O68" s="15">
        <f>+M68+N68</f>
        <v>45000</v>
      </c>
      <c r="P68" s="15">
        <f>+O68-J68</f>
        <v>6747.9411764705874</v>
      </c>
      <c r="Q68" s="15">
        <f>+O68/D68</f>
        <v>633.80281690140851</v>
      </c>
      <c r="R68" s="15">
        <f>+Q68-K68</f>
        <v>95.041425020712609</v>
      </c>
      <c r="S68" s="15">
        <f>+R68*D68</f>
        <v>6747.9411764705956</v>
      </c>
    </row>
    <row r="69" spans="1:19" x14ac:dyDescent="0.3">
      <c r="A69">
        <v>64</v>
      </c>
      <c r="B69" s="19">
        <v>46143</v>
      </c>
      <c r="C69" s="2" t="s">
        <v>63</v>
      </c>
      <c r="D69" s="122">
        <v>150</v>
      </c>
      <c r="E69" s="2">
        <v>475</v>
      </c>
      <c r="F69" s="118">
        <f>+D69*E69</f>
        <v>71250</v>
      </c>
      <c r="G69" s="3">
        <f t="shared" si="0"/>
        <v>964.70588235294122</v>
      </c>
      <c r="H69" s="3">
        <f t="shared" si="1"/>
        <v>1000</v>
      </c>
      <c r="I69" s="3">
        <f t="shared" si="2"/>
        <v>2562.3529411764707</v>
      </c>
      <c r="J69" s="126">
        <f>+F69+SUM(G69:I70)</f>
        <v>80304.117647058825</v>
      </c>
      <c r="K69" s="118">
        <f>+J69/D69</f>
        <v>535.3607843137255</v>
      </c>
      <c r="L69" s="118">
        <v>600</v>
      </c>
      <c r="M69" s="118">
        <f>+L69*D69</f>
        <v>90000</v>
      </c>
      <c r="N69" s="1">
        <v>2400</v>
      </c>
      <c r="O69" s="118">
        <f>+M69+N69+N70</f>
        <v>94800</v>
      </c>
      <c r="P69" s="118">
        <f>+O69-J69</f>
        <v>14495.882352941175</v>
      </c>
      <c r="Q69" s="118">
        <f>+O69/D69</f>
        <v>632</v>
      </c>
      <c r="R69" s="118">
        <f>+Q69-K69</f>
        <v>96.639215686274497</v>
      </c>
      <c r="S69" s="118">
        <f>+R69*D69</f>
        <v>14495.882352941175</v>
      </c>
    </row>
    <row r="70" spans="1:19" x14ac:dyDescent="0.3">
      <c r="A70">
        <v>65</v>
      </c>
      <c r="B70" s="19">
        <v>46143</v>
      </c>
      <c r="C70" s="2" t="s">
        <v>63</v>
      </c>
      <c r="D70" s="122"/>
      <c r="E70" s="2">
        <v>475</v>
      </c>
      <c r="F70" s="118"/>
      <c r="G70" s="3">
        <f t="shared" si="0"/>
        <v>964.70588235294122</v>
      </c>
      <c r="H70" s="3">
        <f t="shared" si="1"/>
        <v>1000</v>
      </c>
      <c r="I70" s="3">
        <f t="shared" si="2"/>
        <v>2562.3529411764707</v>
      </c>
      <c r="J70" s="122"/>
      <c r="K70" s="118"/>
      <c r="L70" s="118"/>
      <c r="M70" s="118"/>
      <c r="N70" s="1">
        <v>2400</v>
      </c>
      <c r="O70" s="118"/>
      <c r="P70" s="118"/>
      <c r="Q70" s="118"/>
      <c r="R70" s="118"/>
      <c r="S70" s="118"/>
    </row>
    <row r="71" spans="1:19" x14ac:dyDescent="0.3">
      <c r="A71">
        <v>66</v>
      </c>
      <c r="B71" s="19">
        <v>46143</v>
      </c>
      <c r="C71" s="2" t="s">
        <v>64</v>
      </c>
      <c r="D71" s="122">
        <v>202</v>
      </c>
      <c r="E71" s="2">
        <v>475</v>
      </c>
      <c r="F71" s="118">
        <f>+D71*E71</f>
        <v>95950</v>
      </c>
      <c r="G71" s="3">
        <f t="shared" si="0"/>
        <v>964.70588235294122</v>
      </c>
      <c r="H71" s="3">
        <f t="shared" si="1"/>
        <v>1000</v>
      </c>
      <c r="I71" s="3">
        <f t="shared" si="2"/>
        <v>2562.3529411764707</v>
      </c>
      <c r="J71" s="126">
        <f>+F71+SUM(G71:I73)</f>
        <v>109531.17647058824</v>
      </c>
      <c r="K71" s="118">
        <f>+J71/D71</f>
        <v>542.23354688410018</v>
      </c>
      <c r="L71" s="118">
        <v>580</v>
      </c>
      <c r="M71" s="118">
        <f>+L71*D71</f>
        <v>117160</v>
      </c>
      <c r="N71" s="1">
        <v>2400</v>
      </c>
      <c r="O71" s="118">
        <f>+M71+SUM(N71:N73)</f>
        <v>124360</v>
      </c>
      <c r="P71" s="118">
        <f>+O71-J71</f>
        <v>14828.823529411762</v>
      </c>
      <c r="Q71" s="118">
        <f>+O71/D71</f>
        <v>615.6435643564356</v>
      </c>
      <c r="R71" s="118">
        <f>+Q71-K71</f>
        <v>73.410017472335426</v>
      </c>
      <c r="S71" s="118">
        <f>+R71*D71</f>
        <v>14828.823529411757</v>
      </c>
    </row>
    <row r="72" spans="1:19" x14ac:dyDescent="0.3">
      <c r="A72">
        <v>67</v>
      </c>
      <c r="B72" s="19">
        <v>46143</v>
      </c>
      <c r="C72" s="2" t="s">
        <v>64</v>
      </c>
      <c r="D72" s="122"/>
      <c r="E72" s="2">
        <v>475</v>
      </c>
      <c r="F72" s="118"/>
      <c r="G72" s="3">
        <f t="shared" ref="G72:G103" si="3">+$B$3</f>
        <v>964.70588235294122</v>
      </c>
      <c r="H72" s="3">
        <f t="shared" ref="H72:H122" si="4">+$D$3</f>
        <v>1000</v>
      </c>
      <c r="I72" s="3">
        <f t="shared" ref="I72:I122" si="5">+$H$2</f>
        <v>2562.3529411764707</v>
      </c>
      <c r="J72" s="122"/>
      <c r="K72" s="118"/>
      <c r="L72" s="118"/>
      <c r="M72" s="118"/>
      <c r="N72" s="1">
        <v>2400</v>
      </c>
      <c r="O72" s="118"/>
      <c r="P72" s="118"/>
      <c r="Q72" s="118"/>
      <c r="R72" s="118"/>
      <c r="S72" s="118"/>
    </row>
    <row r="73" spans="1:19" x14ac:dyDescent="0.3">
      <c r="A73">
        <v>68</v>
      </c>
      <c r="B73" s="19">
        <v>46143</v>
      </c>
      <c r="C73" s="2" t="s">
        <v>64</v>
      </c>
      <c r="D73" s="122"/>
      <c r="E73" s="2">
        <v>475</v>
      </c>
      <c r="F73" s="118"/>
      <c r="G73" s="3">
        <f t="shared" si="3"/>
        <v>964.70588235294122</v>
      </c>
      <c r="H73" s="3">
        <f t="shared" si="4"/>
        <v>1000</v>
      </c>
      <c r="I73" s="3">
        <f t="shared" si="5"/>
        <v>2562.3529411764707</v>
      </c>
      <c r="J73" s="122"/>
      <c r="K73" s="118"/>
      <c r="L73" s="118"/>
      <c r="M73" s="118"/>
      <c r="N73" s="1">
        <v>2400</v>
      </c>
      <c r="O73" s="118"/>
      <c r="P73" s="118"/>
      <c r="Q73" s="118"/>
      <c r="R73" s="118"/>
      <c r="S73" s="118"/>
    </row>
    <row r="74" spans="1:19" x14ac:dyDescent="0.3">
      <c r="A74">
        <v>69</v>
      </c>
      <c r="B74" s="19">
        <v>46143</v>
      </c>
      <c r="C74" s="2" t="s">
        <v>59</v>
      </c>
      <c r="D74" s="122">
        <v>282.5</v>
      </c>
      <c r="E74" s="2">
        <v>475</v>
      </c>
      <c r="F74" s="118">
        <f>+D74*E74</f>
        <v>134187.5</v>
      </c>
      <c r="G74" s="3">
        <f t="shared" si="3"/>
        <v>964.70588235294122</v>
      </c>
      <c r="H74" s="3">
        <f t="shared" si="4"/>
        <v>1000</v>
      </c>
      <c r="I74" s="3">
        <f t="shared" si="5"/>
        <v>2562.3529411764707</v>
      </c>
      <c r="J74" s="126">
        <f>+F74+SUM(G74:I77)</f>
        <v>152295.73529411765</v>
      </c>
      <c r="K74" s="118">
        <f>+J74/D74</f>
        <v>539.09994794377928</v>
      </c>
      <c r="L74" s="118">
        <v>600</v>
      </c>
      <c r="M74" s="118">
        <f>+L74*D74</f>
        <v>169500</v>
      </c>
      <c r="N74" s="1">
        <v>2000</v>
      </c>
      <c r="O74" s="118">
        <f>+M74+SUM(N74:N77)</f>
        <v>177500</v>
      </c>
      <c r="P74" s="118">
        <f>+O74-J74</f>
        <v>25204.26470588235</v>
      </c>
      <c r="Q74" s="118">
        <f>+O74/D74</f>
        <v>628.31858407079642</v>
      </c>
      <c r="R74" s="118">
        <f>+Q74-K74</f>
        <v>89.218636127017135</v>
      </c>
      <c r="S74" s="118">
        <f>+R74*D74</f>
        <v>25204.264705882342</v>
      </c>
    </row>
    <row r="75" spans="1:19" x14ac:dyDescent="0.3">
      <c r="A75">
        <v>70</v>
      </c>
      <c r="B75" s="19">
        <v>46143</v>
      </c>
      <c r="C75" s="2" t="s">
        <v>59</v>
      </c>
      <c r="D75" s="122"/>
      <c r="E75" s="2">
        <v>475</v>
      </c>
      <c r="F75" s="118"/>
      <c r="G75" s="3">
        <f t="shared" si="3"/>
        <v>964.70588235294122</v>
      </c>
      <c r="H75" s="3">
        <f t="shared" si="4"/>
        <v>1000</v>
      </c>
      <c r="I75" s="3">
        <f t="shared" si="5"/>
        <v>2562.3529411764707</v>
      </c>
      <c r="J75" s="122"/>
      <c r="K75" s="118"/>
      <c r="L75" s="118"/>
      <c r="M75" s="118"/>
      <c r="N75" s="1">
        <v>2000</v>
      </c>
      <c r="O75" s="118"/>
      <c r="P75" s="118"/>
      <c r="Q75" s="118"/>
      <c r="R75" s="118"/>
      <c r="S75" s="118"/>
    </row>
    <row r="76" spans="1:19" x14ac:dyDescent="0.3">
      <c r="A76">
        <v>71</v>
      </c>
      <c r="B76" s="19">
        <v>46143</v>
      </c>
      <c r="C76" s="2" t="s">
        <v>59</v>
      </c>
      <c r="D76" s="122"/>
      <c r="E76" s="2">
        <v>475</v>
      </c>
      <c r="F76" s="118"/>
      <c r="G76" s="3">
        <f t="shared" si="3"/>
        <v>964.70588235294122</v>
      </c>
      <c r="H76" s="3">
        <f t="shared" si="4"/>
        <v>1000</v>
      </c>
      <c r="I76" s="3">
        <f t="shared" si="5"/>
        <v>2562.3529411764707</v>
      </c>
      <c r="J76" s="122"/>
      <c r="K76" s="118"/>
      <c r="L76" s="118"/>
      <c r="M76" s="118"/>
      <c r="N76" s="1">
        <v>2000</v>
      </c>
      <c r="O76" s="118"/>
      <c r="P76" s="118"/>
      <c r="Q76" s="118"/>
      <c r="R76" s="118"/>
      <c r="S76" s="118"/>
    </row>
    <row r="77" spans="1:19" x14ac:dyDescent="0.3">
      <c r="A77">
        <v>72</v>
      </c>
      <c r="B77" s="19">
        <v>46143</v>
      </c>
      <c r="C77" s="2" t="s">
        <v>59</v>
      </c>
      <c r="D77" s="122"/>
      <c r="E77" s="2">
        <v>475</v>
      </c>
      <c r="F77" s="118"/>
      <c r="G77" s="3">
        <f t="shared" si="3"/>
        <v>964.70588235294122</v>
      </c>
      <c r="H77" s="3">
        <f t="shared" si="4"/>
        <v>1000</v>
      </c>
      <c r="I77" s="3">
        <f t="shared" si="5"/>
        <v>2562.3529411764707</v>
      </c>
      <c r="J77" s="122"/>
      <c r="K77" s="118"/>
      <c r="L77" s="118"/>
      <c r="M77" s="118"/>
      <c r="N77" s="1">
        <v>2000</v>
      </c>
      <c r="O77" s="118"/>
      <c r="P77" s="118"/>
      <c r="Q77" s="118"/>
      <c r="R77" s="118"/>
      <c r="S77" s="118"/>
    </row>
    <row r="78" spans="1:19" x14ac:dyDescent="0.3">
      <c r="A78">
        <v>73</v>
      </c>
      <c r="B78" s="19">
        <v>46144</v>
      </c>
      <c r="C78" s="2" t="s">
        <v>65</v>
      </c>
      <c r="D78" s="122">
        <v>134</v>
      </c>
      <c r="E78" s="2">
        <v>475</v>
      </c>
      <c r="F78" s="118">
        <f>+D78*E78</f>
        <v>63650</v>
      </c>
      <c r="G78" s="3">
        <f t="shared" si="3"/>
        <v>964.70588235294122</v>
      </c>
      <c r="H78" s="3">
        <f t="shared" si="4"/>
        <v>1000</v>
      </c>
      <c r="I78" s="3">
        <f t="shared" si="5"/>
        <v>2562.3529411764707</v>
      </c>
      <c r="J78" s="126">
        <f>+F78+SUM(G78:I79)</f>
        <v>72704.117647058825</v>
      </c>
      <c r="K78" s="118">
        <f>+J78/D78</f>
        <v>542.56804214223007</v>
      </c>
      <c r="L78" s="118">
        <v>614.92999999999995</v>
      </c>
      <c r="M78" s="118">
        <f>+L78*D78</f>
        <v>82400.62</v>
      </c>
      <c r="N78" s="1">
        <v>1800</v>
      </c>
      <c r="O78" s="118">
        <f>+M78+N79+N78</f>
        <v>86000.62</v>
      </c>
      <c r="P78" s="118">
        <f>+O78-J78</f>
        <v>13296.50235294117</v>
      </c>
      <c r="Q78" s="118">
        <f>+O78/D78</f>
        <v>641.79567164179105</v>
      </c>
      <c r="R78" s="118">
        <f>+Q78-K78</f>
        <v>99.227629499560976</v>
      </c>
      <c r="S78" s="118">
        <f>+R78*D78</f>
        <v>13296.50235294117</v>
      </c>
    </row>
    <row r="79" spans="1:19" x14ac:dyDescent="0.3">
      <c r="A79">
        <v>74</v>
      </c>
      <c r="B79" s="19">
        <v>46144</v>
      </c>
      <c r="C79" s="2" t="s">
        <v>65</v>
      </c>
      <c r="D79" s="122"/>
      <c r="E79" s="2">
        <v>475</v>
      </c>
      <c r="F79" s="118"/>
      <c r="G79" s="3">
        <f t="shared" si="3"/>
        <v>964.70588235294122</v>
      </c>
      <c r="H79" s="3">
        <f t="shared" si="4"/>
        <v>1000</v>
      </c>
      <c r="I79" s="3">
        <f t="shared" si="5"/>
        <v>2562.3529411764707</v>
      </c>
      <c r="J79" s="122"/>
      <c r="K79" s="118"/>
      <c r="L79" s="118"/>
      <c r="M79" s="118"/>
      <c r="N79" s="1">
        <v>1800</v>
      </c>
      <c r="O79" s="118"/>
      <c r="P79" s="118"/>
      <c r="Q79" s="118"/>
      <c r="R79" s="118"/>
      <c r="S79" s="118"/>
    </row>
    <row r="80" spans="1:19" x14ac:dyDescent="0.3">
      <c r="A80">
        <v>75</v>
      </c>
      <c r="B80" s="19">
        <v>46144</v>
      </c>
      <c r="C80" s="2" t="s">
        <v>66</v>
      </c>
      <c r="D80" s="14">
        <v>76</v>
      </c>
      <c r="E80" s="2">
        <v>530</v>
      </c>
      <c r="F80" s="15">
        <f>+D80*E80</f>
        <v>40280</v>
      </c>
      <c r="G80" s="3">
        <f t="shared" si="3"/>
        <v>964.70588235294122</v>
      </c>
      <c r="H80" s="3">
        <f t="shared" si="4"/>
        <v>1000</v>
      </c>
      <c r="I80" s="3">
        <f t="shared" si="5"/>
        <v>2562.3529411764707</v>
      </c>
      <c r="J80" s="18">
        <f>+SUM(F80:I80)</f>
        <v>44807.058823529413</v>
      </c>
      <c r="K80" s="15">
        <f>+J80/D80</f>
        <v>589.5665634674923</v>
      </c>
      <c r="L80" s="15">
        <v>600</v>
      </c>
      <c r="M80" s="15">
        <f>+L80*D80</f>
        <v>45600</v>
      </c>
      <c r="N80" s="1">
        <v>2100</v>
      </c>
      <c r="O80" s="15">
        <f>+M80+N80</f>
        <v>47700</v>
      </c>
      <c r="P80" s="15">
        <f>+O80-J80</f>
        <v>2892.9411764705874</v>
      </c>
      <c r="Q80" s="15">
        <f>+O80/D80</f>
        <v>627.63157894736844</v>
      </c>
      <c r="R80" s="15">
        <f>+Q80-K80</f>
        <v>38.065015479876138</v>
      </c>
      <c r="S80" s="15">
        <f>+R80*D80</f>
        <v>2892.9411764705865</v>
      </c>
    </row>
    <row r="81" spans="1:20" x14ac:dyDescent="0.3">
      <c r="A81">
        <v>76</v>
      </c>
      <c r="B81" s="19">
        <v>46144</v>
      </c>
      <c r="C81" s="2" t="s">
        <v>67</v>
      </c>
      <c r="D81" s="14">
        <v>95</v>
      </c>
      <c r="E81" s="2">
        <v>475</v>
      </c>
      <c r="F81" s="15">
        <f>+D81*E81</f>
        <v>45125</v>
      </c>
      <c r="G81" s="3">
        <f t="shared" si="3"/>
        <v>964.70588235294122</v>
      </c>
      <c r="H81" s="3">
        <f t="shared" si="4"/>
        <v>1000</v>
      </c>
      <c r="I81" s="3">
        <f t="shared" si="5"/>
        <v>2562.3529411764707</v>
      </c>
      <c r="J81" s="18">
        <f>+SUM(F81:I81)</f>
        <v>49652.058823529413</v>
      </c>
      <c r="K81" s="15">
        <f>+J81/D81</f>
        <v>522.65325077399382</v>
      </c>
      <c r="L81" s="15">
        <v>615.79</v>
      </c>
      <c r="M81" s="15">
        <f>+L81*D81</f>
        <v>58500.049999999996</v>
      </c>
      <c r="N81" s="1">
        <v>2100</v>
      </c>
      <c r="O81" s="15">
        <f>+M81+N81</f>
        <v>60600.049999999996</v>
      </c>
      <c r="P81" s="15">
        <f>+O81-J81</f>
        <v>10947.991176470583</v>
      </c>
      <c r="Q81" s="15">
        <f>+O81/D81</f>
        <v>637.89526315789465</v>
      </c>
      <c r="R81" s="15">
        <f>+Q81-K81</f>
        <v>115.24201238390083</v>
      </c>
      <c r="S81" s="15">
        <f>+R81*D81</f>
        <v>10947.991176470579</v>
      </c>
    </row>
    <row r="82" spans="1:20" x14ac:dyDescent="0.3">
      <c r="A82">
        <v>77</v>
      </c>
      <c r="B82" s="19">
        <v>46145</v>
      </c>
      <c r="C82" s="2" t="s">
        <v>68</v>
      </c>
      <c r="D82" s="122">
        <v>240</v>
      </c>
      <c r="E82" s="2">
        <v>475</v>
      </c>
      <c r="F82" s="118">
        <f>+D82*E82</f>
        <v>114000</v>
      </c>
      <c r="G82" s="3">
        <f t="shared" si="3"/>
        <v>964.70588235294122</v>
      </c>
      <c r="H82" s="3">
        <f t="shared" si="4"/>
        <v>1000</v>
      </c>
      <c r="I82" s="3">
        <f t="shared" si="5"/>
        <v>2562.3529411764707</v>
      </c>
      <c r="J82" s="126">
        <f>+F82+SUM(G82:I84)</f>
        <v>127581.17647058824</v>
      </c>
      <c r="K82" s="118">
        <f>+J82/D82</f>
        <v>531.58823529411768</v>
      </c>
      <c r="L82" s="118">
        <v>580</v>
      </c>
      <c r="M82" s="118">
        <f>+L82*D82</f>
        <v>139200</v>
      </c>
      <c r="N82" s="1">
        <v>2100</v>
      </c>
      <c r="O82" s="118">
        <f>+M82+SUM(N82:N84)</f>
        <v>145300</v>
      </c>
      <c r="P82" s="118">
        <f>+O82-J82</f>
        <v>17718.823529411762</v>
      </c>
      <c r="Q82" s="118">
        <f>+O82/D82</f>
        <v>605.41666666666663</v>
      </c>
      <c r="R82" s="118">
        <f>+Q82-K82</f>
        <v>73.828431372548948</v>
      </c>
      <c r="S82" s="118">
        <f>+R82*D82</f>
        <v>17718.823529411748</v>
      </c>
    </row>
    <row r="83" spans="1:20" x14ac:dyDescent="0.3">
      <c r="A83">
        <v>78</v>
      </c>
      <c r="B83" s="19">
        <v>46145</v>
      </c>
      <c r="C83" s="2" t="s">
        <v>68</v>
      </c>
      <c r="D83" s="122"/>
      <c r="E83" s="2">
        <v>475</v>
      </c>
      <c r="F83" s="118"/>
      <c r="G83" s="3">
        <f t="shared" si="3"/>
        <v>964.70588235294122</v>
      </c>
      <c r="H83" s="3">
        <f t="shared" si="4"/>
        <v>1000</v>
      </c>
      <c r="I83" s="3">
        <f t="shared" si="5"/>
        <v>2562.3529411764707</v>
      </c>
      <c r="J83" s="122"/>
      <c r="K83" s="118"/>
      <c r="L83" s="118"/>
      <c r="M83" s="118"/>
      <c r="N83" s="1">
        <v>2000</v>
      </c>
      <c r="O83" s="118"/>
      <c r="P83" s="118"/>
      <c r="Q83" s="118"/>
      <c r="R83" s="118"/>
      <c r="S83" s="118"/>
    </row>
    <row r="84" spans="1:20" x14ac:dyDescent="0.3">
      <c r="A84">
        <v>79</v>
      </c>
      <c r="B84" s="19">
        <v>46145</v>
      </c>
      <c r="C84" s="2" t="s">
        <v>68</v>
      </c>
      <c r="D84" s="122"/>
      <c r="E84" s="2">
        <v>475</v>
      </c>
      <c r="F84" s="118"/>
      <c r="G84" s="3">
        <f t="shared" si="3"/>
        <v>964.70588235294122</v>
      </c>
      <c r="H84" s="3">
        <f t="shared" si="4"/>
        <v>1000</v>
      </c>
      <c r="I84" s="3">
        <f t="shared" si="5"/>
        <v>2562.3529411764707</v>
      </c>
      <c r="J84" s="122"/>
      <c r="K84" s="118"/>
      <c r="L84" s="118"/>
      <c r="M84" s="118"/>
      <c r="N84" s="1">
        <v>2000</v>
      </c>
      <c r="O84" s="118"/>
      <c r="P84" s="118"/>
      <c r="Q84" s="118"/>
      <c r="R84" s="118"/>
      <c r="S84" s="118"/>
    </row>
    <row r="85" spans="1:20" s="100" customFormat="1" x14ac:dyDescent="0.3">
      <c r="A85">
        <v>80</v>
      </c>
      <c r="B85" s="101">
        <v>46146</v>
      </c>
      <c r="C85" s="2" t="s">
        <v>68</v>
      </c>
      <c r="D85" s="103">
        <v>88</v>
      </c>
      <c r="E85" s="102">
        <v>530</v>
      </c>
      <c r="F85" s="104">
        <f>+D85*E85</f>
        <v>46640</v>
      </c>
      <c r="G85" s="105">
        <f t="shared" si="3"/>
        <v>964.70588235294122</v>
      </c>
      <c r="H85" s="105">
        <f t="shared" si="4"/>
        <v>1000</v>
      </c>
      <c r="I85" s="105">
        <f t="shared" si="5"/>
        <v>2562.3529411764707</v>
      </c>
      <c r="J85" s="106">
        <f>+SUM(F85:I85)</f>
        <v>51167.058823529413</v>
      </c>
      <c r="K85" s="104">
        <f>+J85/D85</f>
        <v>581.44385026737973</v>
      </c>
      <c r="L85" s="107">
        <v>590.91</v>
      </c>
      <c r="M85" s="104">
        <f>+L85*D85</f>
        <v>52000.079999999994</v>
      </c>
      <c r="N85" s="108">
        <v>2000</v>
      </c>
      <c r="O85" s="104">
        <f>+M85+N85</f>
        <v>54000.079999999994</v>
      </c>
      <c r="P85" s="104">
        <f>+O85-J85</f>
        <v>2833.0211764705818</v>
      </c>
      <c r="Q85" s="104">
        <f>+O85/D85</f>
        <v>613.63727272727272</v>
      </c>
      <c r="R85" s="104">
        <f>+Q85-K85</f>
        <v>32.193422459892986</v>
      </c>
      <c r="S85" s="104">
        <f>+R85*D85</f>
        <v>2833.0211764705828</v>
      </c>
      <c r="T85" s="109"/>
    </row>
    <row r="86" spans="1:20" x14ac:dyDescent="0.3">
      <c r="A86">
        <v>81</v>
      </c>
      <c r="B86" s="19">
        <v>46145</v>
      </c>
      <c r="C86" s="2" t="s">
        <v>72</v>
      </c>
      <c r="D86" s="122">
        <v>140.5</v>
      </c>
      <c r="E86" s="2">
        <v>475</v>
      </c>
      <c r="F86" s="118">
        <f>+D86*E86</f>
        <v>66737.5</v>
      </c>
      <c r="G86" s="3">
        <f t="shared" si="3"/>
        <v>964.70588235294122</v>
      </c>
      <c r="H86" s="3">
        <f t="shared" si="4"/>
        <v>1000</v>
      </c>
      <c r="I86" s="3">
        <f t="shared" si="5"/>
        <v>2562.3529411764707</v>
      </c>
      <c r="J86" s="126">
        <f>+F86+SUM(G86:I87)</f>
        <v>75791.617647058825</v>
      </c>
      <c r="K86" s="118">
        <f>+J86/D86</f>
        <v>539.44211848440443</v>
      </c>
      <c r="L86" s="123">
        <v>679.72</v>
      </c>
      <c r="M86" s="118">
        <f>+L86*D86</f>
        <v>95500.66</v>
      </c>
      <c r="N86" s="1">
        <v>1500</v>
      </c>
      <c r="O86" s="118">
        <f>+M86+N86+N87</f>
        <v>98500.66</v>
      </c>
      <c r="P86" s="118">
        <f>+O86-J86</f>
        <v>22709.042352941178</v>
      </c>
      <c r="Q86" s="118">
        <f>+O86/D86</f>
        <v>701.07231316725984</v>
      </c>
      <c r="R86" s="118">
        <f>+Q86-K86</f>
        <v>161.6301946828554</v>
      </c>
      <c r="S86" s="118">
        <f>+R86*D86</f>
        <v>22709.042352941186</v>
      </c>
    </row>
    <row r="87" spans="1:20" x14ac:dyDescent="0.3">
      <c r="A87">
        <v>82</v>
      </c>
      <c r="B87" s="19">
        <v>46145</v>
      </c>
      <c r="C87" s="2" t="s">
        <v>72</v>
      </c>
      <c r="D87" s="122"/>
      <c r="E87" s="2">
        <v>475</v>
      </c>
      <c r="F87" s="118"/>
      <c r="G87" s="3">
        <f t="shared" si="3"/>
        <v>964.70588235294122</v>
      </c>
      <c r="H87" s="3">
        <f t="shared" si="4"/>
        <v>1000</v>
      </c>
      <c r="I87" s="3">
        <f t="shared" si="5"/>
        <v>2562.3529411764707</v>
      </c>
      <c r="J87" s="122"/>
      <c r="K87" s="118"/>
      <c r="L87" s="123"/>
      <c r="M87" s="118"/>
      <c r="N87" s="1">
        <v>1500</v>
      </c>
      <c r="O87" s="118"/>
      <c r="P87" s="118"/>
      <c r="Q87" s="118"/>
      <c r="R87" s="118"/>
      <c r="S87" s="118"/>
    </row>
    <row r="88" spans="1:20" x14ac:dyDescent="0.3">
      <c r="A88">
        <v>83</v>
      </c>
      <c r="B88" s="19">
        <v>46145</v>
      </c>
      <c r="C88" s="2" t="s">
        <v>73</v>
      </c>
      <c r="D88" s="122">
        <v>333.5</v>
      </c>
      <c r="E88" s="2">
        <v>475</v>
      </c>
      <c r="F88" s="118">
        <f>+D88*E88</f>
        <v>158412.5</v>
      </c>
      <c r="G88" s="3">
        <f t="shared" si="3"/>
        <v>964.70588235294122</v>
      </c>
      <c r="H88" s="3">
        <f t="shared" si="4"/>
        <v>1000</v>
      </c>
      <c r="I88" s="3">
        <f t="shared" si="5"/>
        <v>2562.3529411764707</v>
      </c>
      <c r="J88" s="126">
        <f>+F88+SUM(G88:I91)</f>
        <v>176520.73529411765</v>
      </c>
      <c r="K88" s="118">
        <f>+J88/D88</f>
        <v>529.29755710380107</v>
      </c>
      <c r="L88" s="123">
        <v>585</v>
      </c>
      <c r="M88" s="118">
        <f>+L88*D88</f>
        <v>195097.5</v>
      </c>
      <c r="N88" s="1">
        <v>2400</v>
      </c>
      <c r="O88" s="118">
        <f>+M88+SUM(N88:N91)</f>
        <v>204697.5</v>
      </c>
      <c r="P88" s="118">
        <f>+O88-J88</f>
        <v>28176.76470588235</v>
      </c>
      <c r="Q88" s="118">
        <f>+O88/D88</f>
        <v>613.78560719640177</v>
      </c>
      <c r="R88" s="118">
        <f>+Q88-K88</f>
        <v>84.488050092600702</v>
      </c>
      <c r="S88" s="118">
        <f>+R88*D88</f>
        <v>28176.764705882335</v>
      </c>
    </row>
    <row r="89" spans="1:20" x14ac:dyDescent="0.3">
      <c r="A89">
        <v>84</v>
      </c>
      <c r="B89" s="19">
        <v>46145</v>
      </c>
      <c r="C89" s="2" t="s">
        <v>73</v>
      </c>
      <c r="D89" s="122"/>
      <c r="E89" s="2">
        <v>475</v>
      </c>
      <c r="F89" s="118"/>
      <c r="G89" s="3">
        <f t="shared" si="3"/>
        <v>964.70588235294122</v>
      </c>
      <c r="H89" s="3">
        <f t="shared" si="4"/>
        <v>1000</v>
      </c>
      <c r="I89" s="3">
        <f t="shared" si="5"/>
        <v>2562.3529411764707</v>
      </c>
      <c r="J89" s="122"/>
      <c r="K89" s="118"/>
      <c r="L89" s="123"/>
      <c r="M89" s="118"/>
      <c r="N89" s="1">
        <v>2400</v>
      </c>
      <c r="O89" s="118"/>
      <c r="P89" s="118"/>
      <c r="Q89" s="118"/>
      <c r="R89" s="118"/>
      <c r="S89" s="118"/>
    </row>
    <row r="90" spans="1:20" x14ac:dyDescent="0.3">
      <c r="A90">
        <v>85</v>
      </c>
      <c r="B90" s="19">
        <v>46145</v>
      </c>
      <c r="C90" s="2" t="s">
        <v>73</v>
      </c>
      <c r="D90" s="122"/>
      <c r="E90" s="2">
        <v>475</v>
      </c>
      <c r="F90" s="118"/>
      <c r="G90" s="3">
        <f t="shared" si="3"/>
        <v>964.70588235294122</v>
      </c>
      <c r="H90" s="3">
        <f t="shared" si="4"/>
        <v>1000</v>
      </c>
      <c r="I90" s="3">
        <f t="shared" si="5"/>
        <v>2562.3529411764707</v>
      </c>
      <c r="J90" s="122"/>
      <c r="K90" s="118"/>
      <c r="L90" s="123"/>
      <c r="M90" s="118"/>
      <c r="N90" s="1">
        <v>2400</v>
      </c>
      <c r="O90" s="118"/>
      <c r="P90" s="118"/>
      <c r="Q90" s="118"/>
      <c r="R90" s="118"/>
      <c r="S90" s="118"/>
    </row>
    <row r="91" spans="1:20" x14ac:dyDescent="0.3">
      <c r="A91">
        <v>86</v>
      </c>
      <c r="B91" s="19">
        <v>46145</v>
      </c>
      <c r="C91" s="2" t="s">
        <v>73</v>
      </c>
      <c r="D91" s="122"/>
      <c r="E91" s="2">
        <v>475</v>
      </c>
      <c r="F91" s="118"/>
      <c r="G91" s="3">
        <f t="shared" si="3"/>
        <v>964.70588235294122</v>
      </c>
      <c r="H91" s="3">
        <f t="shared" si="4"/>
        <v>1000</v>
      </c>
      <c r="I91" s="3">
        <f t="shared" si="5"/>
        <v>2562.3529411764707</v>
      </c>
      <c r="J91" s="122"/>
      <c r="K91" s="118"/>
      <c r="L91" s="123"/>
      <c r="M91" s="118"/>
      <c r="N91" s="1">
        <v>2400</v>
      </c>
      <c r="O91" s="118"/>
      <c r="P91" s="118"/>
      <c r="Q91" s="118"/>
      <c r="R91" s="118"/>
      <c r="S91" s="118"/>
    </row>
    <row r="92" spans="1:20" x14ac:dyDescent="0.3">
      <c r="A92">
        <v>87</v>
      </c>
      <c r="B92" s="19">
        <v>46145</v>
      </c>
      <c r="C92" s="2" t="s">
        <v>74</v>
      </c>
      <c r="D92" s="122">
        <v>231</v>
      </c>
      <c r="E92" s="2">
        <v>475</v>
      </c>
      <c r="F92" s="118">
        <f>+D92*E92</f>
        <v>109725</v>
      </c>
      <c r="G92" s="3">
        <f t="shared" si="3"/>
        <v>964.70588235294122</v>
      </c>
      <c r="H92" s="3">
        <f t="shared" si="4"/>
        <v>1000</v>
      </c>
      <c r="I92" s="3">
        <f t="shared" si="5"/>
        <v>2562.3529411764707</v>
      </c>
      <c r="J92" s="126">
        <f>+F92+SUM(G92:I94)</f>
        <v>123306.17647058824</v>
      </c>
      <c r="K92" s="118">
        <f>+J92/D92</f>
        <v>533.79297173414818</v>
      </c>
      <c r="L92" s="123">
        <v>585</v>
      </c>
      <c r="M92" s="118">
        <f>+L92*D92</f>
        <v>135135</v>
      </c>
      <c r="N92" s="1">
        <v>2400</v>
      </c>
      <c r="O92" s="118">
        <f>+M92+SUM(N92:N94)</f>
        <v>142335</v>
      </c>
      <c r="P92" s="118">
        <f>+O92-J92</f>
        <v>19028.823529411762</v>
      </c>
      <c r="Q92" s="118">
        <f>+O92/D92</f>
        <v>616.16883116883116</v>
      </c>
      <c r="R92" s="118">
        <f>+Q92-K92</f>
        <v>82.37585943468298</v>
      </c>
      <c r="S92" s="118">
        <f>+R92*D92</f>
        <v>19028.823529411769</v>
      </c>
    </row>
    <row r="93" spans="1:20" x14ac:dyDescent="0.3">
      <c r="A93">
        <v>88</v>
      </c>
      <c r="B93" s="19">
        <v>46145</v>
      </c>
      <c r="C93" s="2" t="s">
        <v>74</v>
      </c>
      <c r="D93" s="122"/>
      <c r="E93" s="2">
        <v>475</v>
      </c>
      <c r="F93" s="118"/>
      <c r="G93" s="3">
        <f t="shared" si="3"/>
        <v>964.70588235294122</v>
      </c>
      <c r="H93" s="3">
        <f t="shared" si="4"/>
        <v>1000</v>
      </c>
      <c r="I93" s="3">
        <f t="shared" si="5"/>
        <v>2562.3529411764707</v>
      </c>
      <c r="J93" s="126"/>
      <c r="K93" s="118"/>
      <c r="L93" s="123"/>
      <c r="M93" s="118"/>
      <c r="N93" s="1">
        <v>2400</v>
      </c>
      <c r="O93" s="118"/>
      <c r="P93" s="118"/>
      <c r="Q93" s="118"/>
      <c r="R93" s="118"/>
      <c r="S93" s="118"/>
    </row>
    <row r="94" spans="1:20" x14ac:dyDescent="0.3">
      <c r="A94">
        <v>89</v>
      </c>
      <c r="B94" s="19">
        <v>46145</v>
      </c>
      <c r="C94" s="2" t="s">
        <v>74</v>
      </c>
      <c r="D94" s="122"/>
      <c r="E94" s="2">
        <v>475</v>
      </c>
      <c r="F94" s="118"/>
      <c r="G94" s="3">
        <f t="shared" si="3"/>
        <v>964.70588235294122</v>
      </c>
      <c r="H94" s="3">
        <f t="shared" si="4"/>
        <v>1000</v>
      </c>
      <c r="I94" s="3">
        <f t="shared" si="5"/>
        <v>2562.3529411764707</v>
      </c>
      <c r="J94" s="126"/>
      <c r="K94" s="118"/>
      <c r="L94" s="123"/>
      <c r="M94" s="118"/>
      <c r="N94" s="1">
        <v>2400</v>
      </c>
      <c r="O94" s="118"/>
      <c r="P94" s="118"/>
      <c r="Q94" s="118"/>
      <c r="R94" s="118"/>
      <c r="S94" s="118"/>
    </row>
    <row r="95" spans="1:20" x14ac:dyDescent="0.3">
      <c r="A95">
        <v>90</v>
      </c>
      <c r="B95" s="19">
        <v>46145</v>
      </c>
      <c r="C95" s="2" t="s">
        <v>75</v>
      </c>
      <c r="D95" s="122">
        <v>225</v>
      </c>
      <c r="E95" s="2">
        <v>475</v>
      </c>
      <c r="F95" s="118">
        <f>+D95*E95</f>
        <v>106875</v>
      </c>
      <c r="G95" s="3">
        <f t="shared" si="3"/>
        <v>964.70588235294122</v>
      </c>
      <c r="H95" s="3">
        <f t="shared" si="4"/>
        <v>1000</v>
      </c>
      <c r="I95" s="3">
        <f t="shared" si="5"/>
        <v>2562.3529411764707</v>
      </c>
      <c r="J95" s="126">
        <f>+F95+SUM(G95:I97)</f>
        <v>120456.17647058824</v>
      </c>
      <c r="K95" s="118">
        <f>+J95/D95</f>
        <v>535.3607843137255</v>
      </c>
      <c r="L95" s="123">
        <f>133000/225</f>
        <v>591.11111111111109</v>
      </c>
      <c r="M95" s="118">
        <f>+L95*D95</f>
        <v>133000</v>
      </c>
      <c r="N95" s="1">
        <v>2400</v>
      </c>
      <c r="O95" s="118">
        <f>+M95+SUM(N95:N97)</f>
        <v>140200</v>
      </c>
      <c r="P95" s="118">
        <f>+O95-J95</f>
        <v>19743.823529411762</v>
      </c>
      <c r="Q95" s="118">
        <f>+O95/D95</f>
        <v>623.11111111111109</v>
      </c>
      <c r="R95" s="118">
        <f>+Q95-K95</f>
        <v>87.750326797385583</v>
      </c>
      <c r="S95" s="118">
        <f>+R95*D95</f>
        <v>19743.823529411755</v>
      </c>
    </row>
    <row r="96" spans="1:20" x14ac:dyDescent="0.3">
      <c r="A96">
        <v>91</v>
      </c>
      <c r="B96" s="19">
        <v>46145</v>
      </c>
      <c r="C96" s="2" t="s">
        <v>75</v>
      </c>
      <c r="D96" s="122"/>
      <c r="E96" s="2">
        <v>475</v>
      </c>
      <c r="F96" s="118"/>
      <c r="G96" s="3">
        <f t="shared" si="3"/>
        <v>964.70588235294122</v>
      </c>
      <c r="H96" s="3">
        <f t="shared" si="4"/>
        <v>1000</v>
      </c>
      <c r="I96" s="3">
        <f t="shared" si="5"/>
        <v>2562.3529411764707</v>
      </c>
      <c r="J96" s="126"/>
      <c r="K96" s="118"/>
      <c r="L96" s="123"/>
      <c r="M96" s="118"/>
      <c r="N96" s="1">
        <v>2400</v>
      </c>
      <c r="O96" s="118"/>
      <c r="P96" s="118"/>
      <c r="Q96" s="118"/>
      <c r="R96" s="118"/>
      <c r="S96" s="118"/>
    </row>
    <row r="97" spans="1:20" x14ac:dyDescent="0.3">
      <c r="A97">
        <v>92</v>
      </c>
      <c r="B97" s="19">
        <v>46145</v>
      </c>
      <c r="C97" s="2" t="s">
        <v>75</v>
      </c>
      <c r="D97" s="122"/>
      <c r="E97" s="2">
        <v>475</v>
      </c>
      <c r="F97" s="118"/>
      <c r="G97" s="3">
        <f t="shared" si="3"/>
        <v>964.70588235294122</v>
      </c>
      <c r="H97" s="3">
        <f t="shared" si="4"/>
        <v>1000</v>
      </c>
      <c r="I97" s="3">
        <f t="shared" si="5"/>
        <v>2562.3529411764707</v>
      </c>
      <c r="J97" s="126"/>
      <c r="K97" s="118"/>
      <c r="L97" s="123"/>
      <c r="M97" s="118"/>
      <c r="N97" s="1">
        <v>2400</v>
      </c>
      <c r="O97" s="118"/>
      <c r="P97" s="118"/>
      <c r="Q97" s="118"/>
      <c r="R97" s="118"/>
      <c r="S97" s="118"/>
    </row>
    <row r="98" spans="1:20" x14ac:dyDescent="0.3">
      <c r="A98">
        <v>93</v>
      </c>
      <c r="B98" s="19">
        <v>46145</v>
      </c>
      <c r="C98" s="2" t="s">
        <v>76</v>
      </c>
      <c r="D98" s="14">
        <v>69</v>
      </c>
      <c r="E98" s="2">
        <v>530</v>
      </c>
      <c r="F98" s="15">
        <f>+D98*E98</f>
        <v>36570</v>
      </c>
      <c r="G98" s="3">
        <f t="shared" si="3"/>
        <v>964.70588235294122</v>
      </c>
      <c r="H98" s="3">
        <f t="shared" si="4"/>
        <v>1000</v>
      </c>
      <c r="I98" s="3">
        <f t="shared" si="5"/>
        <v>2562.3529411764707</v>
      </c>
      <c r="J98" s="18">
        <f>+SUM(F98:I98)</f>
        <v>41097.058823529413</v>
      </c>
      <c r="K98" s="15">
        <f>+J98/D98</f>
        <v>595.60954816709295</v>
      </c>
      <c r="L98" s="41">
        <f>41000/69</f>
        <v>594.20289855072463</v>
      </c>
      <c r="M98" s="15">
        <f>+L98*D98</f>
        <v>41000</v>
      </c>
      <c r="N98" s="1">
        <v>2400</v>
      </c>
      <c r="O98" s="15">
        <f>+M98+N98</f>
        <v>43400</v>
      </c>
      <c r="P98" s="15">
        <f>+O98-J98</f>
        <v>2302.9411764705874</v>
      </c>
      <c r="Q98" s="15">
        <f>+O98/D98</f>
        <v>628.98550724637676</v>
      </c>
      <c r="R98" s="15">
        <f>+Q98-K98</f>
        <v>33.375959079283803</v>
      </c>
      <c r="S98" s="15">
        <f>+R98*D98</f>
        <v>2302.9411764705824</v>
      </c>
    </row>
    <row r="99" spans="1:20" x14ac:dyDescent="0.3">
      <c r="A99">
        <v>94</v>
      </c>
      <c r="B99" s="19">
        <v>46146</v>
      </c>
      <c r="C99" s="2" t="s">
        <v>106</v>
      </c>
      <c r="D99" s="14">
        <v>80</v>
      </c>
      <c r="E99" s="2">
        <v>530</v>
      </c>
      <c r="F99" s="15">
        <f>+D99*E99</f>
        <v>42400</v>
      </c>
      <c r="G99" s="3">
        <f t="shared" si="3"/>
        <v>964.70588235294122</v>
      </c>
      <c r="H99" s="3">
        <f t="shared" si="4"/>
        <v>1000</v>
      </c>
      <c r="I99" s="3">
        <f t="shared" si="5"/>
        <v>2562.3529411764707</v>
      </c>
      <c r="J99" s="18">
        <f>+SUM(F99:I99)</f>
        <v>46927.058823529413</v>
      </c>
      <c r="K99" s="15">
        <f>+J99/D99</f>
        <v>586.58823529411768</v>
      </c>
      <c r="L99" s="41">
        <f>+M99/D99</f>
        <v>590</v>
      </c>
      <c r="M99" s="15">
        <v>47200</v>
      </c>
      <c r="N99" s="1">
        <v>2160</v>
      </c>
      <c r="O99" s="15">
        <f>+M99+N99</f>
        <v>49360</v>
      </c>
      <c r="P99" s="15">
        <f>+O99-J99</f>
        <v>2432.9411764705874</v>
      </c>
      <c r="Q99" s="15">
        <f>+O99/D99</f>
        <v>617</v>
      </c>
      <c r="R99" s="15">
        <f>+Q99-K99</f>
        <v>30.41176470588232</v>
      </c>
      <c r="S99" s="15">
        <f>+R99*D99</f>
        <v>2432.9411764705856</v>
      </c>
      <c r="T99" s="110"/>
    </row>
    <row r="100" spans="1:20" x14ac:dyDescent="0.3">
      <c r="A100">
        <v>95</v>
      </c>
      <c r="B100" s="19">
        <v>46146</v>
      </c>
      <c r="C100" s="2" t="s">
        <v>93</v>
      </c>
      <c r="D100" s="14">
        <v>93</v>
      </c>
      <c r="E100" s="2">
        <v>530</v>
      </c>
      <c r="F100" s="15">
        <f>+D100*E100</f>
        <v>49290</v>
      </c>
      <c r="G100" s="3">
        <f t="shared" si="3"/>
        <v>964.70588235294122</v>
      </c>
      <c r="H100" s="3">
        <f t="shared" si="4"/>
        <v>1000</v>
      </c>
      <c r="I100" s="3">
        <f t="shared" si="5"/>
        <v>2562.3529411764707</v>
      </c>
      <c r="J100" s="18">
        <f>+SUM(F100:I100)</f>
        <v>53817.058823529413</v>
      </c>
      <c r="K100" s="15">
        <f>+J100/D100</f>
        <v>578.67805186590772</v>
      </c>
      <c r="L100" s="41">
        <v>602.15099999999995</v>
      </c>
      <c r="M100" s="15">
        <f>+L100*D100</f>
        <v>56000.042999999998</v>
      </c>
      <c r="N100" s="1">
        <v>1200</v>
      </c>
      <c r="O100" s="15">
        <f>+M100+N100</f>
        <v>57200.042999999998</v>
      </c>
      <c r="P100" s="15">
        <f>+O100-J100</f>
        <v>3382.9841764705852</v>
      </c>
      <c r="Q100" s="15">
        <f>+O100/D100</f>
        <v>615.05422580645154</v>
      </c>
      <c r="R100" s="15">
        <f>+Q100-K100</f>
        <v>36.376173940543822</v>
      </c>
      <c r="S100" s="15">
        <f>+R100*D100</f>
        <v>3382.9841764705752</v>
      </c>
    </row>
    <row r="101" spans="1:20" x14ac:dyDescent="0.3">
      <c r="A101">
        <v>96</v>
      </c>
      <c r="B101" s="19">
        <v>46147</v>
      </c>
      <c r="C101" s="2" t="s">
        <v>94</v>
      </c>
      <c r="D101" s="122">
        <v>295</v>
      </c>
      <c r="E101" s="2">
        <v>530</v>
      </c>
      <c r="F101" s="118">
        <f>+D101*E101</f>
        <v>156350</v>
      </c>
      <c r="G101" s="3">
        <f t="shared" si="3"/>
        <v>964.70588235294122</v>
      </c>
      <c r="H101" s="3">
        <f t="shared" si="4"/>
        <v>1000</v>
      </c>
      <c r="I101" s="3">
        <f t="shared" si="5"/>
        <v>2562.3529411764707</v>
      </c>
      <c r="J101" s="126">
        <f>+F101+SUM(G100:I104)</f>
        <v>178985.29411764705</v>
      </c>
      <c r="K101" s="118">
        <f>+J101/D101</f>
        <v>606.72981056829508</v>
      </c>
      <c r="L101" s="123">
        <f>170100/D101</f>
        <v>576.61016949152543</v>
      </c>
      <c r="M101" s="118">
        <v>170100</v>
      </c>
      <c r="N101" s="1">
        <v>1680</v>
      </c>
      <c r="O101" s="118">
        <f>+M101+SUM(N101:N104)</f>
        <v>176820</v>
      </c>
      <c r="P101" s="118">
        <f>+O101-J101</f>
        <v>-2165.2941176470486</v>
      </c>
      <c r="Q101" s="118">
        <f>+O101/D101</f>
        <v>599.38983050847457</v>
      </c>
      <c r="R101" s="118">
        <f>+Q101-K101</f>
        <v>-7.3399800598205047</v>
      </c>
      <c r="S101" s="118">
        <f>+R101*D101</f>
        <v>-2165.294117647049</v>
      </c>
    </row>
    <row r="102" spans="1:20" x14ac:dyDescent="0.3">
      <c r="A102">
        <v>97</v>
      </c>
      <c r="B102" s="19">
        <v>46147</v>
      </c>
      <c r="C102" s="2" t="s">
        <v>94</v>
      </c>
      <c r="D102" s="122"/>
      <c r="E102" s="2">
        <v>530</v>
      </c>
      <c r="F102" s="118"/>
      <c r="G102" s="3">
        <f t="shared" si="3"/>
        <v>964.70588235294122</v>
      </c>
      <c r="H102" s="3">
        <f t="shared" si="4"/>
        <v>1000</v>
      </c>
      <c r="I102" s="3">
        <f t="shared" si="5"/>
        <v>2562.3529411764707</v>
      </c>
      <c r="J102" s="126"/>
      <c r="K102" s="118"/>
      <c r="L102" s="123"/>
      <c r="M102" s="118"/>
      <c r="N102" s="1">
        <v>1680</v>
      </c>
      <c r="O102" s="118"/>
      <c r="P102" s="118"/>
      <c r="Q102" s="118"/>
      <c r="R102" s="118"/>
      <c r="S102" s="118"/>
    </row>
    <row r="103" spans="1:20" x14ac:dyDescent="0.3">
      <c r="A103">
        <v>98</v>
      </c>
      <c r="B103" s="19">
        <v>46147</v>
      </c>
      <c r="C103" s="2" t="s">
        <v>94</v>
      </c>
      <c r="D103" s="122"/>
      <c r="E103" s="2">
        <v>530</v>
      </c>
      <c r="F103" s="118"/>
      <c r="G103" s="3">
        <f t="shared" si="3"/>
        <v>964.70588235294122</v>
      </c>
      <c r="H103" s="3">
        <f t="shared" si="4"/>
        <v>1000</v>
      </c>
      <c r="I103" s="3">
        <f t="shared" si="5"/>
        <v>2562.3529411764707</v>
      </c>
      <c r="J103" s="126"/>
      <c r="K103" s="118"/>
      <c r="L103" s="123"/>
      <c r="M103" s="118"/>
      <c r="N103" s="1">
        <v>1680</v>
      </c>
      <c r="O103" s="118"/>
      <c r="P103" s="118"/>
      <c r="Q103" s="118"/>
      <c r="R103" s="118"/>
      <c r="S103" s="118"/>
    </row>
    <row r="104" spans="1:20" x14ac:dyDescent="0.3">
      <c r="A104">
        <v>99</v>
      </c>
      <c r="B104" s="19">
        <v>46147</v>
      </c>
      <c r="C104" s="2" t="s">
        <v>94</v>
      </c>
      <c r="D104" s="122"/>
      <c r="E104" s="2">
        <v>530</v>
      </c>
      <c r="F104" s="118"/>
      <c r="G104" s="3">
        <f t="shared" ref="G104:G123" si="6">+$B$3</f>
        <v>964.70588235294122</v>
      </c>
      <c r="H104" s="3">
        <f t="shared" si="4"/>
        <v>1000</v>
      </c>
      <c r="I104" s="3">
        <f t="shared" si="5"/>
        <v>2562.3529411764707</v>
      </c>
      <c r="J104" s="126"/>
      <c r="K104" s="118"/>
      <c r="L104" s="123"/>
      <c r="M104" s="118"/>
      <c r="N104" s="1">
        <v>1680</v>
      </c>
      <c r="O104" s="118"/>
      <c r="P104" s="118"/>
      <c r="Q104" s="118"/>
      <c r="R104" s="118"/>
      <c r="S104" s="118"/>
    </row>
    <row r="105" spans="1:20" x14ac:dyDescent="0.3">
      <c r="A105">
        <v>100</v>
      </c>
      <c r="B105" s="19">
        <v>46147</v>
      </c>
      <c r="C105" s="2" t="s">
        <v>95</v>
      </c>
      <c r="D105" s="122">
        <v>212</v>
      </c>
      <c r="E105" s="2">
        <v>530</v>
      </c>
      <c r="F105" s="118">
        <f>+D105*E105</f>
        <v>112360</v>
      </c>
      <c r="G105" s="3">
        <f t="shared" si="6"/>
        <v>964.70588235294122</v>
      </c>
      <c r="H105" s="3">
        <f t="shared" si="4"/>
        <v>1000</v>
      </c>
      <c r="I105" s="3">
        <f t="shared" si="5"/>
        <v>2562.3529411764707</v>
      </c>
      <c r="J105" s="126">
        <f>+F105+SUM(G104:I107)</f>
        <v>130468.23529411765</v>
      </c>
      <c r="K105" s="118">
        <f>+J105/D105</f>
        <v>615.41620421753612</v>
      </c>
      <c r="L105" s="123">
        <v>585</v>
      </c>
      <c r="M105" s="118">
        <f>+L105*D105</f>
        <v>124020</v>
      </c>
      <c r="N105" s="37">
        <v>2400</v>
      </c>
      <c r="O105" s="118">
        <f>+M105+SUM(N105:N107)</f>
        <v>131220</v>
      </c>
      <c r="P105" s="118">
        <f>+O105-J105</f>
        <v>751.76470588234952</v>
      </c>
      <c r="Q105" s="118">
        <f>+O105/D105</f>
        <v>618.96226415094338</v>
      </c>
      <c r="R105" s="118">
        <f>+Q105-K105</f>
        <v>3.546059933407264</v>
      </c>
      <c r="S105" s="118">
        <f>+R105*D105</f>
        <v>751.76470588233997</v>
      </c>
    </row>
    <row r="106" spans="1:20" x14ac:dyDescent="0.3">
      <c r="A106">
        <v>101</v>
      </c>
      <c r="B106" s="19">
        <v>46147</v>
      </c>
      <c r="C106" s="2" t="s">
        <v>95</v>
      </c>
      <c r="D106" s="122"/>
      <c r="E106" s="2">
        <v>530</v>
      </c>
      <c r="F106" s="118"/>
      <c r="G106" s="3">
        <f t="shared" si="6"/>
        <v>964.70588235294122</v>
      </c>
      <c r="H106" s="3">
        <f t="shared" si="4"/>
        <v>1000</v>
      </c>
      <c r="I106" s="3">
        <f t="shared" si="5"/>
        <v>2562.3529411764707</v>
      </c>
      <c r="J106" s="126"/>
      <c r="K106" s="118"/>
      <c r="L106" s="123"/>
      <c r="M106" s="118"/>
      <c r="N106" s="1">
        <v>2400</v>
      </c>
      <c r="O106" s="118"/>
      <c r="P106" s="118"/>
      <c r="Q106" s="118"/>
      <c r="R106" s="118"/>
      <c r="S106" s="118"/>
    </row>
    <row r="107" spans="1:20" x14ac:dyDescent="0.3">
      <c r="A107">
        <v>102</v>
      </c>
      <c r="B107" s="19">
        <v>46147</v>
      </c>
      <c r="C107" s="2" t="s">
        <v>95</v>
      </c>
      <c r="D107" s="122"/>
      <c r="E107" s="2">
        <v>530</v>
      </c>
      <c r="F107" s="118"/>
      <c r="G107" s="3">
        <f t="shared" si="6"/>
        <v>964.70588235294122</v>
      </c>
      <c r="H107" s="3">
        <f t="shared" si="4"/>
        <v>1000</v>
      </c>
      <c r="I107" s="3">
        <f t="shared" si="5"/>
        <v>2562.3529411764707</v>
      </c>
      <c r="J107" s="126"/>
      <c r="K107" s="118"/>
      <c r="L107" s="123"/>
      <c r="M107" s="118"/>
      <c r="N107" s="1">
        <v>2400</v>
      </c>
      <c r="O107" s="118"/>
      <c r="P107" s="118"/>
      <c r="Q107" s="118"/>
      <c r="R107" s="118"/>
      <c r="S107" s="118"/>
    </row>
    <row r="108" spans="1:20" x14ac:dyDescent="0.3">
      <c r="A108">
        <v>103</v>
      </c>
      <c r="B108" s="19">
        <v>46150</v>
      </c>
      <c r="C108" s="2" t="s">
        <v>96</v>
      </c>
      <c r="D108" s="14"/>
      <c r="F108" s="15"/>
      <c r="G108" s="3">
        <f t="shared" si="6"/>
        <v>964.70588235294122</v>
      </c>
      <c r="H108" s="3">
        <f t="shared" si="4"/>
        <v>1000</v>
      </c>
      <c r="I108" s="3">
        <f t="shared" si="5"/>
        <v>2562.3529411764707</v>
      </c>
      <c r="J108" s="18"/>
      <c r="K108" s="15"/>
      <c r="L108" s="41"/>
      <c r="M108" s="15"/>
      <c r="O108" s="15"/>
    </row>
    <row r="109" spans="1:20" x14ac:dyDescent="0.3">
      <c r="A109">
        <v>104</v>
      </c>
      <c r="B109" s="19">
        <v>46150</v>
      </c>
      <c r="C109" s="2" t="s">
        <v>97</v>
      </c>
      <c r="D109" s="122">
        <v>216.5</v>
      </c>
      <c r="E109" s="2">
        <v>530</v>
      </c>
      <c r="F109" s="118">
        <f>+D109*E109</f>
        <v>114745</v>
      </c>
      <c r="G109" s="3">
        <f t="shared" si="6"/>
        <v>964.70588235294122</v>
      </c>
      <c r="H109" s="3">
        <f t="shared" si="4"/>
        <v>1000</v>
      </c>
      <c r="I109" s="3">
        <f t="shared" si="5"/>
        <v>2562.3529411764707</v>
      </c>
      <c r="J109" s="126">
        <f>+F109+SUM(G109:I111)</f>
        <v>128326.17647058824</v>
      </c>
      <c r="K109" s="118">
        <f>+J109/D109</f>
        <v>592.73060725444918</v>
      </c>
      <c r="L109" s="123">
        <f>129000/D109</f>
        <v>595.84295612009237</v>
      </c>
      <c r="M109" s="118">
        <f>+L109*D109</f>
        <v>129000</v>
      </c>
      <c r="N109" s="1">
        <v>1440</v>
      </c>
      <c r="O109" s="118">
        <f>+M109+SUM(N109:N111)</f>
        <v>133320</v>
      </c>
      <c r="P109" s="118">
        <f>+O109-J109</f>
        <v>4993.8235294117621</v>
      </c>
      <c r="Q109" s="118">
        <f>+O109/D109</f>
        <v>615.79676674364896</v>
      </c>
      <c r="R109" s="118">
        <f>+Q109-K109</f>
        <v>23.066159489199777</v>
      </c>
      <c r="S109" s="118">
        <f>+R109*D109</f>
        <v>4993.8235294117512</v>
      </c>
    </row>
    <row r="110" spans="1:20" x14ac:dyDescent="0.3">
      <c r="A110">
        <v>105</v>
      </c>
      <c r="B110" s="19">
        <v>46150</v>
      </c>
      <c r="C110" s="2" t="s">
        <v>97</v>
      </c>
      <c r="D110" s="122"/>
      <c r="E110" s="2">
        <v>530</v>
      </c>
      <c r="F110" s="118"/>
      <c r="G110" s="3">
        <f t="shared" si="6"/>
        <v>964.70588235294122</v>
      </c>
      <c r="H110" s="3">
        <f t="shared" si="4"/>
        <v>1000</v>
      </c>
      <c r="I110" s="3">
        <f t="shared" si="5"/>
        <v>2562.3529411764707</v>
      </c>
      <c r="J110" s="126"/>
      <c r="K110" s="118"/>
      <c r="L110" s="123"/>
      <c r="M110" s="118"/>
      <c r="N110" s="1">
        <v>1440</v>
      </c>
      <c r="O110" s="118"/>
      <c r="P110" s="118"/>
      <c r="Q110" s="118"/>
      <c r="R110" s="118"/>
      <c r="S110" s="118"/>
    </row>
    <row r="111" spans="1:20" x14ac:dyDescent="0.3">
      <c r="A111">
        <v>106</v>
      </c>
      <c r="B111" s="19">
        <v>46150</v>
      </c>
      <c r="C111" s="2" t="s">
        <v>97</v>
      </c>
      <c r="D111" s="122"/>
      <c r="E111" s="2">
        <v>530</v>
      </c>
      <c r="F111" s="118"/>
      <c r="G111" s="3">
        <f t="shared" si="6"/>
        <v>964.70588235294122</v>
      </c>
      <c r="H111" s="3">
        <f t="shared" si="4"/>
        <v>1000</v>
      </c>
      <c r="I111" s="3">
        <f t="shared" si="5"/>
        <v>2562.3529411764707</v>
      </c>
      <c r="J111" s="126"/>
      <c r="K111" s="118"/>
      <c r="L111" s="123"/>
      <c r="M111" s="118"/>
      <c r="N111" s="1">
        <v>1440</v>
      </c>
      <c r="O111" s="118"/>
      <c r="P111" s="118"/>
      <c r="Q111" s="118"/>
      <c r="R111" s="118"/>
      <c r="S111" s="118"/>
    </row>
    <row r="112" spans="1:20" x14ac:dyDescent="0.3">
      <c r="A112">
        <v>107</v>
      </c>
      <c r="B112" s="19">
        <v>46150</v>
      </c>
      <c r="C112" s="2" t="s">
        <v>98</v>
      </c>
      <c r="D112" s="122">
        <v>136</v>
      </c>
      <c r="E112" s="2">
        <v>530</v>
      </c>
      <c r="F112" s="118">
        <f>+D112*E112</f>
        <v>72080</v>
      </c>
      <c r="G112" s="3">
        <f t="shared" si="6"/>
        <v>964.70588235294122</v>
      </c>
      <c r="H112" s="3">
        <f t="shared" si="4"/>
        <v>1000</v>
      </c>
      <c r="I112" s="3">
        <f t="shared" si="5"/>
        <v>2562.3529411764707</v>
      </c>
      <c r="J112" s="126">
        <f>+F112+SUM(G112:I113)</f>
        <v>81134.117647058825</v>
      </c>
      <c r="K112" s="118">
        <f>+J112/D112</f>
        <v>596.57439446366789</v>
      </c>
      <c r="L112" s="123">
        <f>+M112/D112</f>
        <v>600</v>
      </c>
      <c r="M112" s="118">
        <v>81600</v>
      </c>
      <c r="N112" s="37">
        <v>1680</v>
      </c>
      <c r="O112" s="118">
        <f>+M112+N112+N113</f>
        <v>84960</v>
      </c>
      <c r="P112" s="118">
        <f>+O112-J112</f>
        <v>3825.8823529411748</v>
      </c>
      <c r="Q112" s="118">
        <f>+O112/D112</f>
        <v>624.70588235294122</v>
      </c>
      <c r="R112" s="118">
        <f>+Q112-K112</f>
        <v>28.13148788927333</v>
      </c>
      <c r="S112" s="118">
        <f>+R112*D112</f>
        <v>3825.8823529411729</v>
      </c>
    </row>
    <row r="113" spans="1:19" x14ac:dyDescent="0.3">
      <c r="A113">
        <v>108</v>
      </c>
      <c r="B113" s="19">
        <v>46150</v>
      </c>
      <c r="C113" s="2" t="s">
        <v>98</v>
      </c>
      <c r="D113" s="122"/>
      <c r="E113" s="2">
        <v>530</v>
      </c>
      <c r="F113" s="118"/>
      <c r="G113" s="3">
        <f t="shared" si="6"/>
        <v>964.70588235294122</v>
      </c>
      <c r="H113" s="3">
        <f t="shared" si="4"/>
        <v>1000</v>
      </c>
      <c r="I113" s="3">
        <f t="shared" si="5"/>
        <v>2562.3529411764707</v>
      </c>
      <c r="J113" s="126"/>
      <c r="K113" s="118"/>
      <c r="L113" s="123"/>
      <c r="M113" s="118"/>
      <c r="N113" s="1">
        <v>1680</v>
      </c>
      <c r="O113" s="118"/>
      <c r="P113" s="118"/>
      <c r="Q113" s="118"/>
      <c r="R113" s="118"/>
      <c r="S113" s="118"/>
    </row>
    <row r="114" spans="1:19" x14ac:dyDescent="0.3">
      <c r="A114">
        <v>109</v>
      </c>
      <c r="B114" s="19">
        <v>46151</v>
      </c>
      <c r="C114" s="2" t="s">
        <v>99</v>
      </c>
      <c r="D114" s="122">
        <v>200.5</v>
      </c>
      <c r="E114" s="2">
        <v>530</v>
      </c>
      <c r="F114" s="118">
        <f>+D114*E114</f>
        <v>106265</v>
      </c>
      <c r="G114" s="3">
        <f t="shared" si="6"/>
        <v>964.70588235294122</v>
      </c>
      <c r="H114" s="3">
        <f t="shared" si="4"/>
        <v>1000</v>
      </c>
      <c r="I114" s="3">
        <f t="shared" si="5"/>
        <v>2562.3529411764707</v>
      </c>
      <c r="J114" s="126">
        <f>+F114+SUM(G114:I116)</f>
        <v>119846.17647058824</v>
      </c>
      <c r="K114" s="118">
        <f>+J114/D114</f>
        <v>597.73654100044007</v>
      </c>
      <c r="L114" s="123">
        <v>600</v>
      </c>
      <c r="M114" s="118">
        <f>+L114*D114</f>
        <v>120300</v>
      </c>
      <c r="N114" s="37">
        <v>1560</v>
      </c>
      <c r="O114" s="118">
        <f>+M114+SUM(N114:N116)</f>
        <v>124980</v>
      </c>
      <c r="P114" s="118">
        <f>+O114-J114</f>
        <v>5133.8235294117621</v>
      </c>
      <c r="Q114" s="118">
        <f>+O114/D114</f>
        <v>623.34164588528677</v>
      </c>
      <c r="R114" s="118">
        <f>+Q114-K114</f>
        <v>25.605104884846696</v>
      </c>
      <c r="S114" s="118">
        <f>+R114*D114</f>
        <v>5133.8235294117621</v>
      </c>
    </row>
    <row r="115" spans="1:19" x14ac:dyDescent="0.3">
      <c r="A115">
        <v>110</v>
      </c>
      <c r="B115" s="19">
        <v>46151</v>
      </c>
      <c r="C115" s="2" t="s">
        <v>99</v>
      </c>
      <c r="D115" s="122"/>
      <c r="E115" s="2">
        <v>530</v>
      </c>
      <c r="F115" s="118"/>
      <c r="G115" s="3">
        <f t="shared" si="6"/>
        <v>964.70588235294122</v>
      </c>
      <c r="H115" s="3">
        <f t="shared" si="4"/>
        <v>1000</v>
      </c>
      <c r="I115" s="3">
        <f t="shared" si="5"/>
        <v>2562.3529411764707</v>
      </c>
      <c r="J115" s="126"/>
      <c r="K115" s="118"/>
      <c r="L115" s="123"/>
      <c r="M115" s="118"/>
      <c r="N115" s="1">
        <v>1560</v>
      </c>
      <c r="O115" s="118"/>
      <c r="P115" s="118"/>
      <c r="Q115" s="118"/>
      <c r="R115" s="118"/>
      <c r="S115" s="118"/>
    </row>
    <row r="116" spans="1:19" x14ac:dyDescent="0.3">
      <c r="A116">
        <v>111</v>
      </c>
      <c r="B116" s="19">
        <v>46151</v>
      </c>
      <c r="C116" s="2" t="s">
        <v>99</v>
      </c>
      <c r="D116" s="122"/>
      <c r="E116" s="2">
        <v>530</v>
      </c>
      <c r="F116" s="118"/>
      <c r="G116" s="3">
        <f t="shared" si="6"/>
        <v>964.70588235294122</v>
      </c>
      <c r="H116" s="3">
        <f t="shared" si="4"/>
        <v>1000</v>
      </c>
      <c r="I116" s="3">
        <f t="shared" si="5"/>
        <v>2562.3529411764707</v>
      </c>
      <c r="J116" s="126"/>
      <c r="K116" s="118"/>
      <c r="L116" s="123"/>
      <c r="M116" s="118"/>
      <c r="N116" s="1">
        <v>1560</v>
      </c>
      <c r="O116" s="118"/>
      <c r="P116" s="118"/>
      <c r="Q116" s="118"/>
      <c r="R116" s="118"/>
      <c r="S116" s="118"/>
    </row>
    <row r="117" spans="1:19" x14ac:dyDescent="0.3">
      <c r="A117">
        <v>112</v>
      </c>
      <c r="B117" s="19">
        <v>46151</v>
      </c>
      <c r="C117" s="2" t="s">
        <v>100</v>
      </c>
      <c r="D117" s="14">
        <v>59</v>
      </c>
      <c r="E117" s="2">
        <v>530</v>
      </c>
      <c r="F117" s="15">
        <f>+D117*E117</f>
        <v>31270</v>
      </c>
      <c r="G117" s="3">
        <f t="shared" si="6"/>
        <v>964.70588235294122</v>
      </c>
      <c r="H117" s="3">
        <f t="shared" si="4"/>
        <v>1000</v>
      </c>
      <c r="I117" s="3">
        <f t="shared" si="5"/>
        <v>2562.3529411764707</v>
      </c>
      <c r="J117" s="18">
        <f>+SUM(F117:I117)</f>
        <v>35797.058823529405</v>
      </c>
      <c r="K117" s="15">
        <f>+J117/D117</f>
        <v>606.72981056829497</v>
      </c>
      <c r="L117" s="41">
        <f>+M117/D117</f>
        <v>575</v>
      </c>
      <c r="M117" s="15">
        <v>33925</v>
      </c>
      <c r="N117" s="1">
        <v>1440</v>
      </c>
      <c r="O117" s="15">
        <f>+M117+N117</f>
        <v>35365</v>
      </c>
      <c r="P117" s="15">
        <f>+O117-J117</f>
        <v>-432.05882352940534</v>
      </c>
      <c r="Q117" s="15">
        <f>+O117/D117</f>
        <v>599.40677966101691</v>
      </c>
      <c r="R117" s="15">
        <f>+Q117-K117</f>
        <v>-7.3230309072780528</v>
      </c>
      <c r="S117" s="15">
        <f>+R117*D117</f>
        <v>-432.05882352940512</v>
      </c>
    </row>
    <row r="118" spans="1:19" x14ac:dyDescent="0.3">
      <c r="A118">
        <v>113</v>
      </c>
      <c r="B118" s="19">
        <v>46151</v>
      </c>
      <c r="C118" s="2" t="s">
        <v>101</v>
      </c>
      <c r="D118" s="14">
        <v>80</v>
      </c>
      <c r="E118" s="2">
        <v>530</v>
      </c>
      <c r="F118" s="15">
        <f>+D118*E118</f>
        <v>42400</v>
      </c>
      <c r="G118" s="3">
        <f t="shared" si="6"/>
        <v>964.70588235294122</v>
      </c>
      <c r="H118" s="3">
        <f t="shared" si="4"/>
        <v>1000</v>
      </c>
      <c r="I118" s="3">
        <f t="shared" si="5"/>
        <v>2562.3529411764707</v>
      </c>
      <c r="J118" s="18">
        <f>+SUM(F118:I118)</f>
        <v>46927.058823529413</v>
      </c>
      <c r="K118" s="15">
        <f>+J118/D118</f>
        <v>586.58823529411768</v>
      </c>
      <c r="L118" s="41">
        <f>+M118/D118</f>
        <v>585</v>
      </c>
      <c r="M118" s="15">
        <v>46800</v>
      </c>
      <c r="N118" s="1">
        <v>1680</v>
      </c>
      <c r="O118" s="15">
        <f>+M118+N118</f>
        <v>48480</v>
      </c>
      <c r="P118" s="15">
        <f>+O118-J118</f>
        <v>1552.9411764705874</v>
      </c>
      <c r="Q118" s="15">
        <f>+O118/D118</f>
        <v>606</v>
      </c>
      <c r="R118" s="15">
        <f>+Q118-K118</f>
        <v>19.41176470588232</v>
      </c>
      <c r="S118" s="15">
        <f>+R118*D118</f>
        <v>1552.9411764705856</v>
      </c>
    </row>
    <row r="119" spans="1:19" x14ac:dyDescent="0.3">
      <c r="A119">
        <v>114</v>
      </c>
      <c r="B119" s="19">
        <v>46152</v>
      </c>
      <c r="C119" s="2" t="s">
        <v>102</v>
      </c>
      <c r="D119" s="14">
        <v>78</v>
      </c>
      <c r="E119" s="2">
        <v>530</v>
      </c>
      <c r="F119" s="15">
        <f>+D119*E119</f>
        <v>41340</v>
      </c>
      <c r="G119" s="3">
        <f t="shared" si="6"/>
        <v>964.70588235294122</v>
      </c>
      <c r="H119" s="3">
        <f t="shared" si="4"/>
        <v>1000</v>
      </c>
      <c r="I119" s="3">
        <f t="shared" si="5"/>
        <v>2562.3529411764707</v>
      </c>
      <c r="J119" s="18">
        <f>+SUM(F119:I119)</f>
        <v>45867.058823529413</v>
      </c>
      <c r="K119" s="15">
        <f>+J119/D119</f>
        <v>588.03921568627447</v>
      </c>
      <c r="L119" s="41">
        <f>+M119/D119</f>
        <v>576.92307692307691</v>
      </c>
      <c r="M119" s="15">
        <v>45000</v>
      </c>
      <c r="N119" s="1">
        <v>700</v>
      </c>
      <c r="O119" s="15">
        <f>+M119+N119</f>
        <v>45700</v>
      </c>
      <c r="P119" s="15">
        <f>+O119-J119</f>
        <v>-167.05882352941262</v>
      </c>
      <c r="Q119" s="15">
        <f>+O119/D119</f>
        <v>585.89743589743591</v>
      </c>
      <c r="R119" s="15">
        <f>+Q119-K119</f>
        <v>-2.1417797888385621</v>
      </c>
      <c r="S119" s="15">
        <f>+R119*D119</f>
        <v>-167.05882352940785</v>
      </c>
    </row>
    <row r="120" spans="1:19" x14ac:dyDescent="0.3">
      <c r="A120">
        <v>115</v>
      </c>
      <c r="B120" s="19">
        <v>46152</v>
      </c>
      <c r="C120" s="2" t="s">
        <v>103</v>
      </c>
      <c r="D120" s="122">
        <v>135</v>
      </c>
      <c r="E120" s="2">
        <v>530</v>
      </c>
      <c r="F120" s="118">
        <f>+D120*E120</f>
        <v>71550</v>
      </c>
      <c r="G120" s="3">
        <f t="shared" si="6"/>
        <v>964.70588235294122</v>
      </c>
      <c r="H120" s="3">
        <f t="shared" si="4"/>
        <v>1000</v>
      </c>
      <c r="I120" s="3">
        <f t="shared" si="5"/>
        <v>2562.3529411764707</v>
      </c>
      <c r="J120" s="126">
        <f>+F120+SUM(G120:I121)</f>
        <v>80604.117647058825</v>
      </c>
      <c r="K120" s="118">
        <f>+J120/D120</f>
        <v>597.06753812636168</v>
      </c>
      <c r="L120" s="123">
        <f>+M120/D120</f>
        <v>562.96296296296293</v>
      </c>
      <c r="M120" s="118">
        <v>76000</v>
      </c>
      <c r="N120" s="1">
        <v>1320</v>
      </c>
      <c r="O120" s="118">
        <f>+M120+N121+N120</f>
        <v>78640</v>
      </c>
      <c r="P120" s="118">
        <f>+O120-J120</f>
        <v>-1964.1176470588252</v>
      </c>
      <c r="Q120" s="118">
        <f>+O120/D120</f>
        <v>582.51851851851848</v>
      </c>
      <c r="R120" s="118">
        <f>+Q120-K120</f>
        <v>-14.549019607843206</v>
      </c>
      <c r="S120" s="118">
        <f>+R120*D120</f>
        <v>-1964.117647058833</v>
      </c>
    </row>
    <row r="121" spans="1:19" x14ac:dyDescent="0.3">
      <c r="A121">
        <v>116</v>
      </c>
      <c r="B121" s="19">
        <v>46152</v>
      </c>
      <c r="C121" s="2" t="s">
        <v>103</v>
      </c>
      <c r="D121" s="122"/>
      <c r="E121" s="2">
        <v>530</v>
      </c>
      <c r="F121" s="118"/>
      <c r="G121" s="3">
        <f t="shared" si="6"/>
        <v>964.70588235294122</v>
      </c>
      <c r="H121" s="3">
        <f t="shared" si="4"/>
        <v>1000</v>
      </c>
      <c r="I121" s="3">
        <f t="shared" si="5"/>
        <v>2562.3529411764707</v>
      </c>
      <c r="J121" s="126"/>
      <c r="K121" s="118"/>
      <c r="L121" s="123"/>
      <c r="M121" s="118"/>
      <c r="N121" s="1">
        <v>1320</v>
      </c>
      <c r="O121" s="118"/>
      <c r="P121" s="118"/>
      <c r="Q121" s="118"/>
      <c r="R121" s="118"/>
      <c r="S121" s="118"/>
    </row>
    <row r="122" spans="1:19" x14ac:dyDescent="0.3">
      <c r="A122">
        <v>117</v>
      </c>
      <c r="B122" s="19">
        <v>46152</v>
      </c>
      <c r="C122" s="2" t="s">
        <v>104</v>
      </c>
      <c r="D122" s="122">
        <v>135</v>
      </c>
      <c r="E122" s="2">
        <v>530</v>
      </c>
      <c r="F122" s="118">
        <f>+D122*E122</f>
        <v>71550</v>
      </c>
      <c r="G122" s="3">
        <f t="shared" si="6"/>
        <v>964.70588235294122</v>
      </c>
      <c r="H122" s="3">
        <f t="shared" si="4"/>
        <v>1000</v>
      </c>
      <c r="I122" s="3">
        <f t="shared" si="5"/>
        <v>2562.3529411764707</v>
      </c>
      <c r="J122" s="126">
        <f>+F122+SUM(G122:I123)</f>
        <v>78971.176470588238</v>
      </c>
      <c r="K122" s="118">
        <f>+J122/D122</f>
        <v>584.97167755991291</v>
      </c>
      <c r="L122" s="123">
        <f>+M122/D122</f>
        <v>600</v>
      </c>
      <c r="M122" s="118">
        <v>81000</v>
      </c>
      <c r="N122" s="6">
        <v>1250</v>
      </c>
      <c r="O122" s="118">
        <f>+M122+N123+N122</f>
        <v>83500</v>
      </c>
      <c r="P122" s="118">
        <f>+O122-J122</f>
        <v>4528.8235294117621</v>
      </c>
      <c r="Q122" s="118">
        <f>+O122/D122</f>
        <v>618.51851851851848</v>
      </c>
      <c r="R122" s="118">
        <f>+Q122-K122</f>
        <v>33.546840958605571</v>
      </c>
      <c r="S122" s="118">
        <f>+R122*D122</f>
        <v>4528.8235294117521</v>
      </c>
    </row>
    <row r="123" spans="1:19" x14ac:dyDescent="0.3">
      <c r="A123">
        <v>118</v>
      </c>
      <c r="B123" s="19">
        <v>46152</v>
      </c>
      <c r="C123" s="2" t="s">
        <v>104</v>
      </c>
      <c r="D123" s="122"/>
      <c r="E123" s="2">
        <v>530</v>
      </c>
      <c r="F123" s="118"/>
      <c r="G123" s="3">
        <f t="shared" si="6"/>
        <v>964.70588235294122</v>
      </c>
      <c r="H123" s="3">
        <f>+$B$3</f>
        <v>964.70588235294122</v>
      </c>
      <c r="I123" s="3">
        <f>+$B$3</f>
        <v>964.70588235294122</v>
      </c>
      <c r="J123" s="126"/>
      <c r="K123" s="118"/>
      <c r="L123" s="123"/>
      <c r="M123" s="118"/>
      <c r="N123" s="6">
        <v>1250</v>
      </c>
      <c r="O123" s="118"/>
      <c r="P123" s="118"/>
      <c r="Q123" s="118"/>
      <c r="R123" s="118"/>
      <c r="S123" s="118"/>
    </row>
    <row r="124" spans="1:19" x14ac:dyDescent="0.3">
      <c r="A124">
        <v>119</v>
      </c>
      <c r="B124" s="19">
        <v>46152</v>
      </c>
      <c r="C124" s="2" t="s">
        <v>105</v>
      </c>
      <c r="D124" s="122">
        <v>164</v>
      </c>
      <c r="E124" s="2">
        <v>530</v>
      </c>
      <c r="F124" s="118">
        <f>+D124*E124</f>
        <v>86920</v>
      </c>
      <c r="G124" s="3">
        <f t="shared" ref="G124:I125" si="7">+$B$3</f>
        <v>964.70588235294122</v>
      </c>
      <c r="H124" s="3">
        <f t="shared" si="7"/>
        <v>964.70588235294122</v>
      </c>
      <c r="I124" s="3">
        <f t="shared" si="7"/>
        <v>964.70588235294122</v>
      </c>
      <c r="J124" s="126">
        <f>+F124+SUM(G124:I125)</f>
        <v>92708.23529411765</v>
      </c>
      <c r="K124" s="118">
        <f>+J124/D124</f>
        <v>565.2941176470589</v>
      </c>
      <c r="L124" s="123">
        <f>+M124/D124</f>
        <v>580</v>
      </c>
      <c r="M124" s="118">
        <v>95120</v>
      </c>
      <c r="N124" s="1">
        <v>1200</v>
      </c>
      <c r="O124" s="118">
        <f>+M124+N125+N124</f>
        <v>97520</v>
      </c>
      <c r="P124" s="118">
        <f>+O124-J124</f>
        <v>4811.7647058823495</v>
      </c>
      <c r="Q124" s="118">
        <f>+O124/D124</f>
        <v>594.63414634146341</v>
      </c>
      <c r="R124" s="118">
        <f>+Q124-K124</f>
        <v>29.340028694404509</v>
      </c>
      <c r="S124" s="118">
        <f>+R124*D124</f>
        <v>4811.7647058823395</v>
      </c>
    </row>
    <row r="125" spans="1:19" x14ac:dyDescent="0.3">
      <c r="A125">
        <v>120</v>
      </c>
      <c r="B125" s="19">
        <v>46152</v>
      </c>
      <c r="C125" s="2" t="s">
        <v>105</v>
      </c>
      <c r="D125" s="122"/>
      <c r="E125" s="2">
        <v>530</v>
      </c>
      <c r="F125" s="118"/>
      <c r="G125" s="3">
        <f t="shared" si="7"/>
        <v>964.70588235294122</v>
      </c>
      <c r="H125" s="3">
        <f t="shared" si="7"/>
        <v>964.70588235294122</v>
      </c>
      <c r="I125" s="3">
        <f t="shared" si="7"/>
        <v>964.70588235294122</v>
      </c>
      <c r="J125" s="126"/>
      <c r="K125" s="118"/>
      <c r="L125" s="123"/>
      <c r="M125" s="118"/>
      <c r="N125" s="1">
        <v>1200</v>
      </c>
      <c r="O125" s="118"/>
      <c r="P125" s="118"/>
      <c r="Q125" s="118"/>
      <c r="R125" s="118"/>
      <c r="S125" s="118"/>
    </row>
    <row r="126" spans="1:19" x14ac:dyDescent="0.3">
      <c r="B126" s="19"/>
      <c r="D126" s="14"/>
      <c r="F126" s="15"/>
      <c r="J126" s="18"/>
      <c r="K126" s="15"/>
      <c r="L126" s="41"/>
      <c r="M126" s="15"/>
      <c r="O126" s="15"/>
    </row>
    <row r="127" spans="1:19" x14ac:dyDescent="0.3">
      <c r="B127" s="19"/>
      <c r="D127" s="14"/>
      <c r="F127" s="15"/>
      <c r="J127" s="18"/>
      <c r="K127" s="15"/>
      <c r="L127" s="41"/>
      <c r="M127" s="15"/>
      <c r="O127" s="15"/>
    </row>
    <row r="128" spans="1:19" x14ac:dyDescent="0.3">
      <c r="A128">
        <f>119+16</f>
        <v>135</v>
      </c>
      <c r="B128" s="19"/>
      <c r="D128" s="14"/>
      <c r="F128" s="15"/>
      <c r="J128" s="18"/>
      <c r="K128" s="15"/>
      <c r="L128" s="41"/>
      <c r="M128" s="15"/>
      <c r="O128" s="15"/>
    </row>
    <row r="129" spans="2:15" x14ac:dyDescent="0.3">
      <c r="B129" s="19"/>
      <c r="D129" s="14"/>
      <c r="F129" s="15"/>
      <c r="J129" s="18"/>
      <c r="K129" s="15"/>
      <c r="L129" s="41"/>
      <c r="M129" s="15"/>
      <c r="O129" s="15"/>
    </row>
    <row r="130" spans="2:15" x14ac:dyDescent="0.3">
      <c r="B130" s="19"/>
      <c r="D130" s="14"/>
      <c r="F130" s="15"/>
      <c r="J130" s="18"/>
      <c r="K130" s="15"/>
      <c r="L130" s="41"/>
      <c r="M130" s="15"/>
      <c r="O130" s="15"/>
    </row>
    <row r="131" spans="2:15" x14ac:dyDescent="0.3">
      <c r="B131" s="19"/>
      <c r="D131" s="14"/>
      <c r="F131" s="15"/>
      <c r="J131" s="18"/>
      <c r="K131" s="15"/>
      <c r="L131" s="41"/>
      <c r="M131" s="15"/>
      <c r="O131" s="15"/>
    </row>
    <row r="132" spans="2:15" x14ac:dyDescent="0.3">
      <c r="B132" s="19"/>
      <c r="D132" s="14"/>
      <c r="F132" s="15"/>
      <c r="J132" s="18"/>
      <c r="K132" s="15"/>
      <c r="L132" s="41"/>
      <c r="M132" s="15"/>
      <c r="O132" s="15"/>
    </row>
    <row r="133" spans="2:15" x14ac:dyDescent="0.3">
      <c r="B133" s="19"/>
      <c r="D133" s="14"/>
      <c r="F133" s="15"/>
      <c r="J133" s="18"/>
      <c r="K133" s="15"/>
      <c r="L133" s="41"/>
      <c r="M133" s="15"/>
      <c r="O133" s="15"/>
    </row>
    <row r="134" spans="2:15" x14ac:dyDescent="0.3">
      <c r="B134" s="19"/>
      <c r="D134" s="14"/>
      <c r="F134" s="15"/>
      <c r="J134" s="18"/>
      <c r="K134" s="15"/>
      <c r="L134" s="41"/>
      <c r="M134" s="15"/>
      <c r="O134" s="15"/>
    </row>
    <row r="135" spans="2:15" x14ac:dyDescent="0.3">
      <c r="B135" s="19"/>
      <c r="D135" s="14"/>
      <c r="F135" s="15"/>
      <c r="J135" s="18"/>
      <c r="K135" s="15"/>
      <c r="L135" s="41"/>
      <c r="M135" s="15"/>
      <c r="O135" s="15"/>
    </row>
    <row r="136" spans="2:15" x14ac:dyDescent="0.3">
      <c r="B136" s="19"/>
      <c r="D136" s="14"/>
      <c r="F136" s="15"/>
      <c r="J136" s="18"/>
      <c r="K136" s="15"/>
      <c r="L136" s="41"/>
      <c r="M136" s="15"/>
      <c r="O136" s="15"/>
    </row>
    <row r="137" spans="2:15" x14ac:dyDescent="0.3">
      <c r="B137" s="19"/>
      <c r="D137" s="14"/>
      <c r="F137" s="15"/>
      <c r="J137" s="18"/>
      <c r="K137" s="15"/>
      <c r="L137" s="41"/>
      <c r="M137" s="15"/>
      <c r="O137" s="15"/>
    </row>
    <row r="138" spans="2:15" x14ac:dyDescent="0.3">
      <c r="B138" s="19"/>
      <c r="D138" s="14"/>
      <c r="F138" s="15"/>
      <c r="J138" s="18"/>
      <c r="K138" s="15"/>
      <c r="L138" s="41"/>
      <c r="M138" s="15"/>
      <c r="O138" s="15"/>
    </row>
    <row r="139" spans="2:15" x14ac:dyDescent="0.3">
      <c r="B139" s="19"/>
      <c r="D139" s="14"/>
      <c r="F139" s="15"/>
      <c r="J139" s="18"/>
      <c r="K139" s="15"/>
      <c r="L139" s="41"/>
      <c r="M139" s="15"/>
      <c r="O139" s="15"/>
    </row>
    <row r="140" spans="2:15" x14ac:dyDescent="0.3">
      <c r="B140" s="19"/>
      <c r="D140" s="14"/>
      <c r="F140" s="15"/>
      <c r="J140" s="18"/>
      <c r="K140" s="15"/>
      <c r="L140" s="41"/>
      <c r="M140" s="15"/>
      <c r="O140" s="15"/>
    </row>
    <row r="141" spans="2:15" x14ac:dyDescent="0.3">
      <c r="B141" s="19"/>
      <c r="D141" s="14"/>
      <c r="F141" s="15"/>
      <c r="J141" s="18"/>
      <c r="K141" s="15"/>
      <c r="L141" s="41"/>
      <c r="M141" s="15"/>
      <c r="O141" s="15"/>
    </row>
    <row r="142" spans="2:15" x14ac:dyDescent="0.3">
      <c r="B142" s="19"/>
      <c r="D142" s="14"/>
      <c r="F142" s="15"/>
      <c r="J142" s="18"/>
      <c r="K142" s="15"/>
      <c r="L142" s="41"/>
      <c r="M142" s="15"/>
      <c r="O142" s="15"/>
    </row>
    <row r="143" spans="2:15" x14ac:dyDescent="0.3">
      <c r="B143" s="19"/>
      <c r="D143" s="14"/>
      <c r="F143" s="15"/>
      <c r="J143" s="18"/>
      <c r="K143" s="15"/>
      <c r="L143" s="41"/>
      <c r="M143" s="15"/>
      <c r="O143" s="15"/>
    </row>
    <row r="144" spans="2:15" x14ac:dyDescent="0.3">
      <c r="B144" s="19"/>
      <c r="D144" s="14"/>
      <c r="F144" s="15"/>
      <c r="J144" s="18"/>
      <c r="K144" s="15"/>
      <c r="L144" s="41"/>
      <c r="M144" s="15"/>
      <c r="O144" s="15"/>
    </row>
    <row r="145" spans="2:21" x14ac:dyDescent="0.3">
      <c r="B145" s="19"/>
      <c r="D145" s="14"/>
      <c r="F145" s="15"/>
      <c r="J145" s="18"/>
      <c r="K145" s="15"/>
      <c r="L145" s="41"/>
      <c r="M145" s="15"/>
      <c r="O145" s="15"/>
    </row>
    <row r="146" spans="2:21" x14ac:dyDescent="0.3">
      <c r="B146" s="19"/>
      <c r="D146" s="14"/>
      <c r="F146" s="15"/>
      <c r="J146" s="18"/>
      <c r="K146" s="15"/>
      <c r="L146" s="41"/>
      <c r="M146" s="15"/>
      <c r="O146" s="15"/>
    </row>
    <row r="147" spans="2:21" x14ac:dyDescent="0.3">
      <c r="B147" s="19"/>
      <c r="D147" s="14"/>
      <c r="F147" s="15"/>
      <c r="J147" s="14"/>
      <c r="K147" s="15"/>
      <c r="L147" s="41"/>
      <c r="M147" s="15"/>
      <c r="O147" s="15"/>
    </row>
    <row r="148" spans="2:21" x14ac:dyDescent="0.3">
      <c r="B148" s="19"/>
      <c r="D148" s="14"/>
      <c r="F148" s="15"/>
      <c r="J148" s="14"/>
      <c r="K148" s="15"/>
      <c r="L148" s="41"/>
      <c r="M148" s="15"/>
      <c r="O148" s="15"/>
    </row>
    <row r="149" spans="2:21" x14ac:dyDescent="0.3">
      <c r="B149" s="19"/>
      <c r="D149" s="14"/>
      <c r="F149" s="15"/>
      <c r="J149" s="14"/>
      <c r="K149" s="15"/>
      <c r="M149" s="15"/>
      <c r="O149" s="15"/>
    </row>
    <row r="150" spans="2:21" ht="15" thickBot="1" x14ac:dyDescent="0.35">
      <c r="B150" s="13"/>
    </row>
    <row r="151" spans="2:21" s="1" customFormat="1" ht="15.6" thickTop="1" thickBot="1" x14ac:dyDescent="0.35">
      <c r="C151" s="3" t="s">
        <v>41</v>
      </c>
      <c r="D151" s="3">
        <f>+SUM(D6:D150)</f>
        <v>8513.5</v>
      </c>
      <c r="E151" s="3"/>
      <c r="F151" s="3">
        <f>+SUM(F6:F150)</f>
        <v>4160347.5</v>
      </c>
      <c r="G151" s="3">
        <f>+SUM(G6:G150)</f>
        <v>115764.70588235281</v>
      </c>
      <c r="H151" s="3">
        <f>+SUM(H6:H150)</f>
        <v>119894.11764705881</v>
      </c>
      <c r="I151" s="3">
        <f>+SUM(I6:I150)</f>
        <v>302689.41176470596</v>
      </c>
      <c r="J151" s="31">
        <f>+SUM(J6:J150)</f>
        <v>4703222.79411765</v>
      </c>
      <c r="K151" s="3"/>
      <c r="L151" s="3"/>
      <c r="M151" s="3">
        <f>+SUM(M6:M150)</f>
        <v>5087622.6889999993</v>
      </c>
      <c r="N151" s="3">
        <f>+SUM(N6:N150)</f>
        <v>291400</v>
      </c>
      <c r="O151" s="31">
        <f>+SUM(O6:O150)</f>
        <v>5379022.6889999993</v>
      </c>
      <c r="P151" s="32">
        <f>+SUM(P6:P150)</f>
        <v>675799.89488235326</v>
      </c>
      <c r="Q151" s="3"/>
      <c r="R151" s="3"/>
      <c r="S151" s="32">
        <f>+SUM(S6:S150)</f>
        <v>675799.89488235314</v>
      </c>
    </row>
    <row r="152" spans="2:21" ht="15.6" thickTop="1" thickBot="1" x14ac:dyDescent="0.35">
      <c r="D152" s="3"/>
      <c r="E152" s="3"/>
      <c r="M152" s="3"/>
      <c r="N152" s="3"/>
      <c r="O152" s="3"/>
      <c r="U152" t="s">
        <v>39</v>
      </c>
    </row>
    <row r="153" spans="2:21" ht="15.6" thickTop="1" thickBot="1" x14ac:dyDescent="0.35">
      <c r="C153" s="2" t="s">
        <v>37</v>
      </c>
      <c r="D153" s="17">
        <f>+'Lot 1 weight list'!J27-'Sale Combined'!D151</f>
        <v>3973.5</v>
      </c>
      <c r="E153" s="17"/>
      <c r="F153" s="3">
        <f>+'Lot 1 weight list'!J29-'Sale Combined'!F151</f>
        <v>2116047.5</v>
      </c>
      <c r="G153" s="3">
        <f>+B1-G151</f>
        <v>48235.294117647194</v>
      </c>
      <c r="H153" s="3">
        <f>+D1-H151</f>
        <v>50105.882352941189</v>
      </c>
      <c r="I153" s="3">
        <f>+H3-I151</f>
        <v>132910.58823529404</v>
      </c>
      <c r="J153" s="31">
        <f>+SUM(F153:I153)</f>
        <v>2347299.2647058824</v>
      </c>
      <c r="L153" s="15">
        <v>575</v>
      </c>
      <c r="M153" s="1">
        <f>+L153*D153</f>
        <v>2284762.5</v>
      </c>
      <c r="N153" s="3">
        <f>+(H3-N151)-100000</f>
        <v>44200</v>
      </c>
      <c r="O153" s="35">
        <f>+M153+N153</f>
        <v>2328962.5</v>
      </c>
      <c r="P153" s="36">
        <f>+O153-J153</f>
        <v>-18336.764705882408</v>
      </c>
      <c r="S153" s="36">
        <f>+P153</f>
        <v>-18336.764705882408</v>
      </c>
      <c r="U153" s="1">
        <v>600000</v>
      </c>
    </row>
    <row r="154" spans="2:21" ht="15" thickTop="1" x14ac:dyDescent="0.3">
      <c r="D154" s="2">
        <f>+D153/50</f>
        <v>79.47</v>
      </c>
    </row>
    <row r="155" spans="2:21" ht="16.2" x14ac:dyDescent="0.45">
      <c r="F155" s="25">
        <f>+SUM(F151:F153)</f>
        <v>6276395</v>
      </c>
      <c r="G155" s="25">
        <f>+SUM(G151:G153)</f>
        <v>164000</v>
      </c>
      <c r="H155" s="25">
        <f>+SUM(H151:H153)</f>
        <v>170000</v>
      </c>
      <c r="I155" s="25">
        <f>+SUM(I151:I153)</f>
        <v>435600</v>
      </c>
      <c r="J155" s="25">
        <f>+SUM(J151:J153)</f>
        <v>7050522.0588235324</v>
      </c>
      <c r="M155" s="25">
        <f>+SUM(M151:M153)</f>
        <v>7372385.1889999993</v>
      </c>
      <c r="N155" s="25">
        <f>+SUM(N151:N153)</f>
        <v>335600</v>
      </c>
      <c r="O155" s="25">
        <f>+SUM(O151:O153)</f>
        <v>7707985.1889999993</v>
      </c>
      <c r="P155" s="25">
        <f>+SUM(P151:P153)</f>
        <v>657463.13017647085</v>
      </c>
      <c r="S155" s="25">
        <f>+SUM(S151:S153)</f>
        <v>657463.13017647073</v>
      </c>
    </row>
    <row r="156" spans="2:21" x14ac:dyDescent="0.3">
      <c r="I156" s="3" t="s">
        <v>27</v>
      </c>
      <c r="J156" s="3">
        <v>170</v>
      </c>
      <c r="N156" s="1" t="s">
        <v>27</v>
      </c>
      <c r="O156" s="1">
        <v>170</v>
      </c>
    </row>
    <row r="157" spans="2:21" ht="16.2" x14ac:dyDescent="0.45">
      <c r="E157" s="17"/>
      <c r="I157" s="3" t="s">
        <v>40</v>
      </c>
      <c r="J157" s="25">
        <f>+J155/J156</f>
        <v>41473.659169550192</v>
      </c>
      <c r="N157" s="3" t="s">
        <v>40</v>
      </c>
      <c r="O157" s="25">
        <f>+O155/O156</f>
        <v>45341.08934705882</v>
      </c>
    </row>
    <row r="161" spans="1:21" s="14" customFormat="1" x14ac:dyDescent="0.3">
      <c r="A161"/>
      <c r="B161"/>
      <c r="C161" s="2"/>
      <c r="D161" s="2"/>
      <c r="E161" s="2"/>
      <c r="F161" s="3"/>
      <c r="G161" s="26"/>
      <c r="H161" s="21"/>
      <c r="I161" s="3"/>
      <c r="J161" s="3"/>
      <c r="K161" s="3"/>
      <c r="L161" s="15"/>
      <c r="M161" s="1"/>
      <c r="N161" s="1"/>
      <c r="O161" s="1"/>
      <c r="P161" s="15"/>
      <c r="Q161" s="15"/>
      <c r="R161" s="15"/>
      <c r="S161" s="15"/>
      <c r="T161"/>
      <c r="U161"/>
    </row>
    <row r="162" spans="1:21" s="14" customFormat="1" x14ac:dyDescent="0.3">
      <c r="A162"/>
      <c r="B162"/>
      <c r="C162" s="2"/>
      <c r="D162" s="2"/>
      <c r="E162" s="2"/>
      <c r="F162" s="3"/>
      <c r="G162" s="26"/>
      <c r="H162" s="42"/>
      <c r="I162" s="3"/>
      <c r="J162" s="3"/>
      <c r="K162" s="3"/>
      <c r="L162" s="15"/>
      <c r="M162" s="1"/>
      <c r="N162" s="1"/>
      <c r="O162" s="1"/>
      <c r="P162" s="15"/>
      <c r="Q162" s="15"/>
      <c r="R162" s="15"/>
      <c r="S162" s="15"/>
      <c r="T162"/>
      <c r="U162"/>
    </row>
    <row r="168" spans="1:21" ht="16.2" x14ac:dyDescent="0.45">
      <c r="G168" s="127" t="s">
        <v>69</v>
      </c>
      <c r="H168" s="127"/>
      <c r="I168" s="127"/>
      <c r="J168" s="127"/>
      <c r="K168" s="127"/>
      <c r="L168" s="127"/>
      <c r="M168" s="127"/>
      <c r="N168" s="127"/>
    </row>
    <row r="169" spans="1:21" x14ac:dyDescent="0.3">
      <c r="G169" s="20">
        <v>90</v>
      </c>
      <c r="H169" s="27">
        <v>46126</v>
      </c>
      <c r="I169" s="27">
        <v>46162</v>
      </c>
      <c r="J169" s="20">
        <f>+I169-H169</f>
        <v>36</v>
      </c>
      <c r="K169" s="3">
        <v>90</v>
      </c>
      <c r="L169" s="15">
        <f>+G169*J169*K169</f>
        <v>291600</v>
      </c>
      <c r="M169" s="1">
        <f>1000*90</f>
        <v>90000</v>
      </c>
    </row>
    <row r="170" spans="1:21" x14ac:dyDescent="0.3">
      <c r="G170" s="3">
        <v>80</v>
      </c>
      <c r="H170" s="27">
        <v>46142</v>
      </c>
      <c r="I170" s="27">
        <v>46162</v>
      </c>
      <c r="J170" s="20">
        <f>+I170-H170</f>
        <v>20</v>
      </c>
      <c r="K170" s="3">
        <v>90</v>
      </c>
      <c r="L170" s="15">
        <f>+G170*J170*K170</f>
        <v>144000</v>
      </c>
      <c r="M170" s="1">
        <f>1000*80</f>
        <v>80000</v>
      </c>
    </row>
    <row r="171" spans="1:21" ht="16.2" x14ac:dyDescent="0.45">
      <c r="K171" s="25" t="s">
        <v>70</v>
      </c>
      <c r="L171" s="38">
        <f>+L169+L170</f>
        <v>435600</v>
      </c>
      <c r="M171" s="38">
        <f>+M169+M170</f>
        <v>170000</v>
      </c>
      <c r="N171" s="1">
        <f>+L171+M171</f>
        <v>605600</v>
      </c>
    </row>
    <row r="172" spans="1:21" x14ac:dyDescent="0.3">
      <c r="K172" s="3" t="s">
        <v>71</v>
      </c>
      <c r="L172" s="15">
        <f>+N151</f>
        <v>291400</v>
      </c>
    </row>
    <row r="173" spans="1:21" ht="16.2" x14ac:dyDescent="0.45">
      <c r="K173" s="39" t="s">
        <v>37</v>
      </c>
      <c r="L173" s="40">
        <f>+L171-L172</f>
        <v>144200</v>
      </c>
    </row>
    <row r="174" spans="1:21" x14ac:dyDescent="0.3">
      <c r="G174" s="20">
        <v>60</v>
      </c>
      <c r="H174" s="27">
        <v>46126</v>
      </c>
      <c r="I174" s="27">
        <v>46162</v>
      </c>
      <c r="J174" s="20">
        <f>+I174-H174</f>
        <v>36</v>
      </c>
      <c r="K174" s="3">
        <v>90</v>
      </c>
      <c r="L174" s="15">
        <f>+G174*J174*K174</f>
        <v>194400</v>
      </c>
      <c r="M174" s="1">
        <f>1000*60</f>
        <v>60000</v>
      </c>
      <c r="N174" s="1">
        <f>+L174+M174</f>
        <v>254400</v>
      </c>
    </row>
    <row r="175" spans="1:21" ht="16.2" x14ac:dyDescent="0.45">
      <c r="N175" s="46">
        <f>+N171+N174</f>
        <v>860000</v>
      </c>
    </row>
    <row r="183" spans="1:21" s="3" customFormat="1" x14ac:dyDescent="0.3">
      <c r="A183"/>
      <c r="B183"/>
      <c r="C183" s="2"/>
      <c r="D183" s="2"/>
      <c r="E183" s="2"/>
      <c r="I183" s="5"/>
      <c r="L183" s="15"/>
      <c r="M183" s="1"/>
      <c r="N183" s="1"/>
      <c r="O183" s="1"/>
      <c r="P183" s="15"/>
      <c r="Q183" s="15"/>
      <c r="R183" s="15"/>
      <c r="S183" s="15"/>
      <c r="T183"/>
      <c r="U183"/>
    </row>
  </sheetData>
  <mergeCells count="396">
    <mergeCell ref="D9:D10"/>
    <mergeCell ref="F9:F10"/>
    <mergeCell ref="J9:J10"/>
    <mergeCell ref="K9:K10"/>
    <mergeCell ref="L9:L10"/>
    <mergeCell ref="D7:D8"/>
    <mergeCell ref="F7:F8"/>
    <mergeCell ref="J7:J8"/>
    <mergeCell ref="K7:K8"/>
    <mergeCell ref="L7:L8"/>
    <mergeCell ref="M9:M10"/>
    <mergeCell ref="O9:O10"/>
    <mergeCell ref="P9:P10"/>
    <mergeCell ref="Q9:Q10"/>
    <mergeCell ref="R9:R10"/>
    <mergeCell ref="S9:S10"/>
    <mergeCell ref="O7:O8"/>
    <mergeCell ref="P7:P8"/>
    <mergeCell ref="Q7:Q8"/>
    <mergeCell ref="R7:R8"/>
    <mergeCell ref="S7:S8"/>
    <mergeCell ref="M7:M8"/>
    <mergeCell ref="D16:D17"/>
    <mergeCell ref="F16:F17"/>
    <mergeCell ref="J16:J17"/>
    <mergeCell ref="K16:K17"/>
    <mergeCell ref="L16:L17"/>
    <mergeCell ref="D11:D15"/>
    <mergeCell ref="F11:F15"/>
    <mergeCell ref="J11:J15"/>
    <mergeCell ref="K11:K15"/>
    <mergeCell ref="L11:L15"/>
    <mergeCell ref="M16:M17"/>
    <mergeCell ref="O16:O17"/>
    <mergeCell ref="P16:P17"/>
    <mergeCell ref="Q16:Q17"/>
    <mergeCell ref="R16:R17"/>
    <mergeCell ref="S16:S17"/>
    <mergeCell ref="O11:O15"/>
    <mergeCell ref="P11:P15"/>
    <mergeCell ref="Q11:Q15"/>
    <mergeCell ref="R11:R15"/>
    <mergeCell ref="S11:S15"/>
    <mergeCell ref="M11:M15"/>
    <mergeCell ref="S18:S19"/>
    <mergeCell ref="D20:D21"/>
    <mergeCell ref="F20:F21"/>
    <mergeCell ref="J20:J21"/>
    <mergeCell ref="K20:K21"/>
    <mergeCell ref="L20:L21"/>
    <mergeCell ref="D18:D19"/>
    <mergeCell ref="F18:F19"/>
    <mergeCell ref="J18:J19"/>
    <mergeCell ref="K18:K19"/>
    <mergeCell ref="L18:L19"/>
    <mergeCell ref="M18:M19"/>
    <mergeCell ref="D22:D23"/>
    <mergeCell ref="F22:F23"/>
    <mergeCell ref="J22:J23"/>
    <mergeCell ref="K22:K23"/>
    <mergeCell ref="L22:L23"/>
    <mergeCell ref="O18:O19"/>
    <mergeCell ref="P18:P19"/>
    <mergeCell ref="Q18:Q19"/>
    <mergeCell ref="R18:R19"/>
    <mergeCell ref="M22:M23"/>
    <mergeCell ref="O22:O23"/>
    <mergeCell ref="P22:P23"/>
    <mergeCell ref="Q22:Q23"/>
    <mergeCell ref="R22:R23"/>
    <mergeCell ref="S22:S23"/>
    <mergeCell ref="O20:O21"/>
    <mergeCell ref="P20:P21"/>
    <mergeCell ref="Q20:Q21"/>
    <mergeCell ref="R20:R21"/>
    <mergeCell ref="S20:S21"/>
    <mergeCell ref="D27:D32"/>
    <mergeCell ref="F27:F32"/>
    <mergeCell ref="J27:J32"/>
    <mergeCell ref="K27:K32"/>
    <mergeCell ref="L27:L32"/>
    <mergeCell ref="D24:D25"/>
    <mergeCell ref="F24:F25"/>
    <mergeCell ref="J24:J25"/>
    <mergeCell ref="K24:K25"/>
    <mergeCell ref="L24:L25"/>
    <mergeCell ref="M27:M32"/>
    <mergeCell ref="O27:O32"/>
    <mergeCell ref="P27:P32"/>
    <mergeCell ref="Q27:Q32"/>
    <mergeCell ref="R27:R32"/>
    <mergeCell ref="S27:S32"/>
    <mergeCell ref="O24:O25"/>
    <mergeCell ref="P24:P25"/>
    <mergeCell ref="Q24:Q25"/>
    <mergeCell ref="R24:R25"/>
    <mergeCell ref="S24:S25"/>
    <mergeCell ref="M24:M25"/>
    <mergeCell ref="D38:D39"/>
    <mergeCell ref="F38:F39"/>
    <mergeCell ref="J38:J39"/>
    <mergeCell ref="K38:K39"/>
    <mergeCell ref="L38:L39"/>
    <mergeCell ref="D34:D37"/>
    <mergeCell ref="F34:F37"/>
    <mergeCell ref="J34:J37"/>
    <mergeCell ref="K34:K37"/>
    <mergeCell ref="L34:L37"/>
    <mergeCell ref="M38:M39"/>
    <mergeCell ref="O38:O39"/>
    <mergeCell ref="P38:P39"/>
    <mergeCell ref="Q38:Q39"/>
    <mergeCell ref="R38:R39"/>
    <mergeCell ref="S38:S39"/>
    <mergeCell ref="O34:O37"/>
    <mergeCell ref="P34:P37"/>
    <mergeCell ref="Q34:Q37"/>
    <mergeCell ref="R34:R37"/>
    <mergeCell ref="S34:S37"/>
    <mergeCell ref="M34:M37"/>
    <mergeCell ref="D42:D44"/>
    <mergeCell ref="F42:F44"/>
    <mergeCell ref="J42:J44"/>
    <mergeCell ref="K42:K44"/>
    <mergeCell ref="L42:L44"/>
    <mergeCell ref="D40:D41"/>
    <mergeCell ref="F40:F41"/>
    <mergeCell ref="J40:J41"/>
    <mergeCell ref="K40:K41"/>
    <mergeCell ref="L40:L41"/>
    <mergeCell ref="M42:M44"/>
    <mergeCell ref="O42:O44"/>
    <mergeCell ref="P42:P44"/>
    <mergeCell ref="Q42:Q44"/>
    <mergeCell ref="R42:R44"/>
    <mergeCell ref="S42:S44"/>
    <mergeCell ref="O40:O41"/>
    <mergeCell ref="P40:P41"/>
    <mergeCell ref="Q40:Q41"/>
    <mergeCell ref="R40:R41"/>
    <mergeCell ref="S40:S41"/>
    <mergeCell ref="M40:M41"/>
    <mergeCell ref="D51:D53"/>
    <mergeCell ref="F51:F53"/>
    <mergeCell ref="J51:J53"/>
    <mergeCell ref="K51:K53"/>
    <mergeCell ref="L51:L53"/>
    <mergeCell ref="D45:D49"/>
    <mergeCell ref="F45:F49"/>
    <mergeCell ref="J45:J49"/>
    <mergeCell ref="K45:K49"/>
    <mergeCell ref="L45:L49"/>
    <mergeCell ref="M51:M53"/>
    <mergeCell ref="O51:O53"/>
    <mergeCell ref="P51:P53"/>
    <mergeCell ref="Q51:Q53"/>
    <mergeCell ref="R51:R53"/>
    <mergeCell ref="S51:S53"/>
    <mergeCell ref="O45:O49"/>
    <mergeCell ref="P45:P49"/>
    <mergeCell ref="Q45:Q49"/>
    <mergeCell ref="R45:R49"/>
    <mergeCell ref="S45:S49"/>
    <mergeCell ref="M45:M49"/>
    <mergeCell ref="D58:D59"/>
    <mergeCell ref="F58:F59"/>
    <mergeCell ref="J58:J59"/>
    <mergeCell ref="K58:K59"/>
    <mergeCell ref="L58:L59"/>
    <mergeCell ref="D54:D57"/>
    <mergeCell ref="F54:F57"/>
    <mergeCell ref="J54:J57"/>
    <mergeCell ref="K54:K57"/>
    <mergeCell ref="L54:L57"/>
    <mergeCell ref="M58:M59"/>
    <mergeCell ref="O58:O59"/>
    <mergeCell ref="P58:P59"/>
    <mergeCell ref="Q58:Q59"/>
    <mergeCell ref="R58:R59"/>
    <mergeCell ref="S58:S59"/>
    <mergeCell ref="O54:O57"/>
    <mergeCell ref="P54:P57"/>
    <mergeCell ref="Q54:Q57"/>
    <mergeCell ref="R54:R57"/>
    <mergeCell ref="S54:S57"/>
    <mergeCell ref="M54:M57"/>
    <mergeCell ref="D62:D67"/>
    <mergeCell ref="F62:F67"/>
    <mergeCell ref="J62:J67"/>
    <mergeCell ref="K62:K67"/>
    <mergeCell ref="L62:L67"/>
    <mergeCell ref="D60:D61"/>
    <mergeCell ref="F60:F61"/>
    <mergeCell ref="J60:J61"/>
    <mergeCell ref="K60:K61"/>
    <mergeCell ref="L60:L61"/>
    <mergeCell ref="M62:M67"/>
    <mergeCell ref="O62:O67"/>
    <mergeCell ref="P62:P67"/>
    <mergeCell ref="Q62:Q67"/>
    <mergeCell ref="R62:R67"/>
    <mergeCell ref="S62:S67"/>
    <mergeCell ref="O60:O61"/>
    <mergeCell ref="P60:P61"/>
    <mergeCell ref="Q60:Q61"/>
    <mergeCell ref="R60:R61"/>
    <mergeCell ref="S60:S61"/>
    <mergeCell ref="M60:M61"/>
    <mergeCell ref="D71:D73"/>
    <mergeCell ref="F71:F73"/>
    <mergeCell ref="J71:J73"/>
    <mergeCell ref="K71:K73"/>
    <mergeCell ref="L71:L73"/>
    <mergeCell ref="D69:D70"/>
    <mergeCell ref="F69:F70"/>
    <mergeCell ref="J69:J70"/>
    <mergeCell ref="K69:K70"/>
    <mergeCell ref="L69:L70"/>
    <mergeCell ref="M71:M73"/>
    <mergeCell ref="O71:O73"/>
    <mergeCell ref="P71:P73"/>
    <mergeCell ref="Q71:Q73"/>
    <mergeCell ref="R71:R73"/>
    <mergeCell ref="S71:S73"/>
    <mergeCell ref="O69:O70"/>
    <mergeCell ref="P69:P70"/>
    <mergeCell ref="Q69:Q70"/>
    <mergeCell ref="R69:R70"/>
    <mergeCell ref="S69:S70"/>
    <mergeCell ref="M69:M70"/>
    <mergeCell ref="D78:D79"/>
    <mergeCell ref="F78:F79"/>
    <mergeCell ref="J78:J79"/>
    <mergeCell ref="K78:K79"/>
    <mergeCell ref="L78:L79"/>
    <mergeCell ref="D74:D77"/>
    <mergeCell ref="F74:F77"/>
    <mergeCell ref="J74:J77"/>
    <mergeCell ref="K74:K77"/>
    <mergeCell ref="L74:L77"/>
    <mergeCell ref="M78:M79"/>
    <mergeCell ref="O78:O79"/>
    <mergeCell ref="P78:P79"/>
    <mergeCell ref="Q78:Q79"/>
    <mergeCell ref="R78:R79"/>
    <mergeCell ref="S78:S79"/>
    <mergeCell ref="O74:O77"/>
    <mergeCell ref="P74:P77"/>
    <mergeCell ref="Q74:Q77"/>
    <mergeCell ref="R74:R77"/>
    <mergeCell ref="S74:S77"/>
    <mergeCell ref="M74:M77"/>
    <mergeCell ref="D86:D87"/>
    <mergeCell ref="F86:F87"/>
    <mergeCell ref="J86:J87"/>
    <mergeCell ref="K86:K87"/>
    <mergeCell ref="L86:L87"/>
    <mergeCell ref="D82:D84"/>
    <mergeCell ref="F82:F84"/>
    <mergeCell ref="J82:J84"/>
    <mergeCell ref="K82:K84"/>
    <mergeCell ref="L82:L84"/>
    <mergeCell ref="M86:M87"/>
    <mergeCell ref="O86:O87"/>
    <mergeCell ref="P86:P87"/>
    <mergeCell ref="Q86:Q87"/>
    <mergeCell ref="R86:R87"/>
    <mergeCell ref="S86:S87"/>
    <mergeCell ref="O82:O84"/>
    <mergeCell ref="P82:P84"/>
    <mergeCell ref="Q82:Q84"/>
    <mergeCell ref="R82:R84"/>
    <mergeCell ref="S82:S84"/>
    <mergeCell ref="M82:M84"/>
    <mergeCell ref="Q92:Q94"/>
    <mergeCell ref="R92:R94"/>
    <mergeCell ref="S92:S94"/>
    <mergeCell ref="O88:O91"/>
    <mergeCell ref="P88:P91"/>
    <mergeCell ref="Q88:Q91"/>
    <mergeCell ref="R88:R91"/>
    <mergeCell ref="S88:S91"/>
    <mergeCell ref="D92:D94"/>
    <mergeCell ref="F92:F94"/>
    <mergeCell ref="J92:J94"/>
    <mergeCell ref="K92:K94"/>
    <mergeCell ref="L92:L94"/>
    <mergeCell ref="D88:D91"/>
    <mergeCell ref="F88:F91"/>
    <mergeCell ref="J88:J91"/>
    <mergeCell ref="K88:K91"/>
    <mergeCell ref="L88:L91"/>
    <mergeCell ref="M88:M91"/>
    <mergeCell ref="D95:D97"/>
    <mergeCell ref="F95:F97"/>
    <mergeCell ref="J95:J97"/>
    <mergeCell ref="K95:K97"/>
    <mergeCell ref="L95:L97"/>
    <mergeCell ref="M95:M97"/>
    <mergeCell ref="M92:M94"/>
    <mergeCell ref="O92:O94"/>
    <mergeCell ref="P92:P94"/>
    <mergeCell ref="O95:O97"/>
    <mergeCell ref="P95:P97"/>
    <mergeCell ref="Q95:Q97"/>
    <mergeCell ref="R95:R97"/>
    <mergeCell ref="S95:S97"/>
    <mergeCell ref="G168:N168"/>
    <mergeCell ref="O101:O104"/>
    <mergeCell ref="P101:P104"/>
    <mergeCell ref="Q101:Q104"/>
    <mergeCell ref="R101:R104"/>
    <mergeCell ref="S101:S104"/>
    <mergeCell ref="D105:D107"/>
    <mergeCell ref="F105:F107"/>
    <mergeCell ref="J105:J107"/>
    <mergeCell ref="K105:K107"/>
    <mergeCell ref="L105:L107"/>
    <mergeCell ref="M105:M107"/>
    <mergeCell ref="O105:O107"/>
    <mergeCell ref="P105:P107"/>
    <mergeCell ref="Q105:Q107"/>
    <mergeCell ref="D101:D104"/>
    <mergeCell ref="F101:F104"/>
    <mergeCell ref="J101:J104"/>
    <mergeCell ref="K101:K104"/>
    <mergeCell ref="L101:L104"/>
    <mergeCell ref="M101:M104"/>
    <mergeCell ref="R105:R107"/>
    <mergeCell ref="S105:S107"/>
    <mergeCell ref="D109:D111"/>
    <mergeCell ref="F109:F111"/>
    <mergeCell ref="J109:J111"/>
    <mergeCell ref="K109:K111"/>
    <mergeCell ref="L109:L111"/>
    <mergeCell ref="M109:M111"/>
    <mergeCell ref="O109:O111"/>
    <mergeCell ref="P109:P111"/>
    <mergeCell ref="D114:D116"/>
    <mergeCell ref="F114:F116"/>
    <mergeCell ref="J114:J116"/>
    <mergeCell ref="K114:K116"/>
    <mergeCell ref="L114:L116"/>
    <mergeCell ref="M114:M116"/>
    <mergeCell ref="Q109:Q111"/>
    <mergeCell ref="R109:R111"/>
    <mergeCell ref="S109:S111"/>
    <mergeCell ref="D112:D113"/>
    <mergeCell ref="F112:F113"/>
    <mergeCell ref="J112:J113"/>
    <mergeCell ref="K112:K113"/>
    <mergeCell ref="L112:L113"/>
    <mergeCell ref="M112:M113"/>
    <mergeCell ref="O112:O113"/>
    <mergeCell ref="O114:O116"/>
    <mergeCell ref="P114:P116"/>
    <mergeCell ref="Q114:Q116"/>
    <mergeCell ref="R114:R116"/>
    <mergeCell ref="S114:S116"/>
    <mergeCell ref="P112:P113"/>
    <mergeCell ref="Q112:Q113"/>
    <mergeCell ref="R112:R113"/>
    <mergeCell ref="S112:S113"/>
    <mergeCell ref="O120:O121"/>
    <mergeCell ref="P120:P121"/>
    <mergeCell ref="Q120:Q121"/>
    <mergeCell ref="R120:R121"/>
    <mergeCell ref="S120:S121"/>
    <mergeCell ref="D122:D123"/>
    <mergeCell ref="F122:F123"/>
    <mergeCell ref="J122:J123"/>
    <mergeCell ref="K122:K123"/>
    <mergeCell ref="L122:L123"/>
    <mergeCell ref="D120:D121"/>
    <mergeCell ref="F120:F121"/>
    <mergeCell ref="J120:J121"/>
    <mergeCell ref="K120:K121"/>
    <mergeCell ref="L120:L121"/>
    <mergeCell ref="M120:M121"/>
    <mergeCell ref="R124:R125"/>
    <mergeCell ref="S124:S125"/>
    <mergeCell ref="S122:S123"/>
    <mergeCell ref="D124:D125"/>
    <mergeCell ref="F124:F125"/>
    <mergeCell ref="J124:J125"/>
    <mergeCell ref="K124:K125"/>
    <mergeCell ref="L124:L125"/>
    <mergeCell ref="M124:M125"/>
    <mergeCell ref="O124:O125"/>
    <mergeCell ref="P124:P125"/>
    <mergeCell ref="Q124:Q125"/>
    <mergeCell ref="M122:M123"/>
    <mergeCell ref="O122:O123"/>
    <mergeCell ref="P122:P123"/>
    <mergeCell ref="Q122:Q123"/>
    <mergeCell ref="R122:R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D7DD-486F-4D64-9522-136330E3E519}">
  <sheetPr codeName="Sheet2"/>
  <dimension ref="A1:V105"/>
  <sheetViews>
    <sheetView topLeftCell="A9" zoomScale="70" zoomScaleNormal="70" workbookViewId="0">
      <selection activeCell="G31" sqref="G31"/>
    </sheetView>
  </sheetViews>
  <sheetFormatPr defaultRowHeight="14.4" x14ac:dyDescent="0.3"/>
  <cols>
    <col min="1" max="1" width="5.77734375" style="2" bestFit="1" customWidth="1"/>
    <col min="2" max="2" width="13.44140625" style="3" bestFit="1" customWidth="1"/>
    <col min="3" max="3" width="5.77734375" style="2" bestFit="1" customWidth="1"/>
    <col min="4" max="4" width="9.6640625" style="2" bestFit="1" customWidth="1"/>
    <col min="5" max="5" width="13.44140625" style="3" bestFit="1" customWidth="1"/>
    <col min="6" max="6" width="9.6640625" style="2" bestFit="1" customWidth="1"/>
    <col min="7" max="7" width="13.33203125" style="2" bestFit="1" customWidth="1"/>
    <col min="8" max="8" width="9.6640625" style="2" bestFit="1" customWidth="1"/>
    <col min="10" max="10" width="13.44140625" bestFit="1" customWidth="1"/>
    <col min="11" max="12" width="13.44140625" style="1" bestFit="1" customWidth="1"/>
  </cols>
  <sheetData>
    <row r="1" spans="1:22" s="4" customFormat="1" x14ac:dyDescent="0.3">
      <c r="A1" s="4" t="s">
        <v>0</v>
      </c>
      <c r="B1" s="5" t="s">
        <v>1</v>
      </c>
      <c r="C1" s="4" t="s">
        <v>0</v>
      </c>
      <c r="D1" s="5" t="s">
        <v>1</v>
      </c>
      <c r="E1" s="4" t="s">
        <v>0</v>
      </c>
      <c r="F1" s="5" t="s">
        <v>1</v>
      </c>
      <c r="G1" s="4" t="s">
        <v>0</v>
      </c>
      <c r="H1" s="5" t="s">
        <v>1</v>
      </c>
      <c r="K1" s="5"/>
      <c r="L1" s="5"/>
    </row>
    <row r="2" spans="1:22" x14ac:dyDescent="0.3">
      <c r="A2" s="7">
        <v>1</v>
      </c>
      <c r="B2" s="8">
        <v>54</v>
      </c>
      <c r="C2" s="9">
        <v>26</v>
      </c>
      <c r="D2" s="10">
        <v>65</v>
      </c>
      <c r="E2" s="11">
        <v>51</v>
      </c>
      <c r="F2" s="12">
        <v>70</v>
      </c>
      <c r="G2" s="11">
        <v>76</v>
      </c>
      <c r="H2" s="12">
        <v>76</v>
      </c>
    </row>
    <row r="3" spans="1:22" x14ac:dyDescent="0.3">
      <c r="A3" s="7">
        <v>2</v>
      </c>
      <c r="B3" s="8">
        <v>56</v>
      </c>
      <c r="C3" s="9">
        <v>27</v>
      </c>
      <c r="D3" s="10">
        <v>66</v>
      </c>
      <c r="E3" s="11">
        <v>52</v>
      </c>
      <c r="F3" s="12">
        <v>70</v>
      </c>
      <c r="G3" s="11">
        <v>77</v>
      </c>
      <c r="H3" s="12">
        <v>76</v>
      </c>
    </row>
    <row r="4" spans="1:22" x14ac:dyDescent="0.3">
      <c r="A4" s="7">
        <v>3</v>
      </c>
      <c r="B4" s="8">
        <v>57</v>
      </c>
      <c r="C4" s="9">
        <v>28</v>
      </c>
      <c r="D4" s="10">
        <v>66</v>
      </c>
      <c r="E4" s="11">
        <v>53</v>
      </c>
      <c r="F4" s="12">
        <v>70</v>
      </c>
      <c r="G4" s="11">
        <v>78</v>
      </c>
      <c r="H4" s="12">
        <v>77</v>
      </c>
      <c r="O4">
        <v>1</v>
      </c>
    </row>
    <row r="5" spans="1:22" x14ac:dyDescent="0.3">
      <c r="A5" s="7">
        <v>4</v>
      </c>
      <c r="B5" s="8">
        <v>57</v>
      </c>
      <c r="C5" s="9">
        <v>29</v>
      </c>
      <c r="D5" s="10">
        <v>66</v>
      </c>
      <c r="E5" s="11">
        <v>54</v>
      </c>
      <c r="F5" s="12">
        <v>70</v>
      </c>
      <c r="G5" s="11">
        <v>79</v>
      </c>
      <c r="H5" s="12">
        <v>77</v>
      </c>
      <c r="O5">
        <v>2</v>
      </c>
    </row>
    <row r="6" spans="1:22" x14ac:dyDescent="0.3">
      <c r="A6" s="7">
        <v>5</v>
      </c>
      <c r="B6" s="8">
        <v>57</v>
      </c>
      <c r="C6" s="9">
        <v>30</v>
      </c>
      <c r="D6" s="10">
        <v>66</v>
      </c>
      <c r="E6" s="11">
        <v>55</v>
      </c>
      <c r="F6" s="12">
        <v>70</v>
      </c>
      <c r="G6" s="11">
        <v>80</v>
      </c>
      <c r="H6" s="12">
        <v>77</v>
      </c>
      <c r="O6">
        <v>2</v>
      </c>
    </row>
    <row r="7" spans="1:22" x14ac:dyDescent="0.3">
      <c r="A7" s="7">
        <v>6</v>
      </c>
      <c r="B7" s="8">
        <v>58</v>
      </c>
      <c r="C7" s="9">
        <v>31</v>
      </c>
      <c r="D7" s="10">
        <v>66</v>
      </c>
      <c r="E7" s="11">
        <v>56</v>
      </c>
      <c r="F7" s="12">
        <v>71</v>
      </c>
      <c r="G7" s="11">
        <v>81</v>
      </c>
      <c r="H7" s="12">
        <v>77</v>
      </c>
      <c r="O7">
        <v>5</v>
      </c>
    </row>
    <row r="8" spans="1:22" x14ac:dyDescent="0.3">
      <c r="A8" s="7">
        <v>7</v>
      </c>
      <c r="B8" s="8">
        <v>58</v>
      </c>
      <c r="C8" s="9">
        <v>32</v>
      </c>
      <c r="D8" s="10">
        <v>67</v>
      </c>
      <c r="E8" s="11">
        <v>57</v>
      </c>
      <c r="F8" s="12">
        <v>71</v>
      </c>
      <c r="G8" s="11">
        <v>82</v>
      </c>
      <c r="H8" s="12">
        <v>77</v>
      </c>
      <c r="O8">
        <v>2</v>
      </c>
    </row>
    <row r="9" spans="1:22" x14ac:dyDescent="0.3">
      <c r="A9" s="7">
        <v>8</v>
      </c>
      <c r="B9" s="8">
        <v>59</v>
      </c>
      <c r="C9" s="9">
        <v>33</v>
      </c>
      <c r="D9" s="10">
        <v>67</v>
      </c>
      <c r="E9" s="11">
        <v>58</v>
      </c>
      <c r="F9" s="12">
        <v>71</v>
      </c>
      <c r="G9" s="11">
        <v>83</v>
      </c>
      <c r="H9" s="12">
        <v>78</v>
      </c>
      <c r="O9">
        <v>2</v>
      </c>
    </row>
    <row r="10" spans="1:22" x14ac:dyDescent="0.3">
      <c r="A10" s="7">
        <v>9</v>
      </c>
      <c r="B10" s="8">
        <v>59</v>
      </c>
      <c r="C10" s="9">
        <v>34</v>
      </c>
      <c r="D10" s="10">
        <v>67</v>
      </c>
      <c r="E10" s="11">
        <v>59</v>
      </c>
      <c r="F10" s="12">
        <v>71</v>
      </c>
      <c r="G10" s="11">
        <v>84</v>
      </c>
      <c r="H10" s="12">
        <v>80</v>
      </c>
      <c r="O10">
        <v>2</v>
      </c>
    </row>
    <row r="11" spans="1:22" x14ac:dyDescent="0.3">
      <c r="A11" s="7">
        <v>10</v>
      </c>
      <c r="B11" s="8">
        <v>60</v>
      </c>
      <c r="C11" s="9">
        <v>35</v>
      </c>
      <c r="D11" s="10">
        <v>67</v>
      </c>
      <c r="E11" s="11">
        <v>60</v>
      </c>
      <c r="F11" s="12">
        <v>71</v>
      </c>
      <c r="G11" s="11">
        <v>85</v>
      </c>
      <c r="H11" s="12">
        <v>82</v>
      </c>
      <c r="O11">
        <v>2</v>
      </c>
    </row>
    <row r="12" spans="1:22" x14ac:dyDescent="0.3">
      <c r="A12" s="7">
        <v>11</v>
      </c>
      <c r="B12" s="8">
        <v>60</v>
      </c>
      <c r="C12" s="9">
        <v>36</v>
      </c>
      <c r="D12" s="10">
        <v>67</v>
      </c>
      <c r="E12" s="11">
        <v>61</v>
      </c>
      <c r="F12" s="12">
        <v>71</v>
      </c>
      <c r="G12" s="11">
        <v>86</v>
      </c>
      <c r="H12" s="12">
        <v>84</v>
      </c>
      <c r="O12">
        <v>3</v>
      </c>
    </row>
    <row r="13" spans="1:22" x14ac:dyDescent="0.3">
      <c r="A13" s="7">
        <v>12</v>
      </c>
      <c r="B13" s="8">
        <v>60</v>
      </c>
      <c r="C13" s="9">
        <v>37</v>
      </c>
      <c r="D13" s="10">
        <v>68</v>
      </c>
      <c r="E13" s="11">
        <v>62</v>
      </c>
      <c r="F13" s="12">
        <v>72</v>
      </c>
      <c r="G13" s="11">
        <v>87</v>
      </c>
      <c r="H13" s="12">
        <v>85</v>
      </c>
      <c r="O13">
        <v>6</v>
      </c>
    </row>
    <row r="14" spans="1:22" x14ac:dyDescent="0.3">
      <c r="A14" s="9">
        <v>13</v>
      </c>
      <c r="B14" s="10">
        <v>61</v>
      </c>
      <c r="C14" s="9">
        <v>38</v>
      </c>
      <c r="D14" s="10">
        <v>68</v>
      </c>
      <c r="E14" s="11">
        <v>63</v>
      </c>
      <c r="F14" s="12">
        <v>72</v>
      </c>
      <c r="G14" s="11">
        <v>88</v>
      </c>
      <c r="H14" s="12">
        <v>85</v>
      </c>
      <c r="O14">
        <v>1</v>
      </c>
    </row>
    <row r="15" spans="1:22" x14ac:dyDescent="0.3">
      <c r="A15" s="9">
        <v>14</v>
      </c>
      <c r="B15" s="10">
        <v>61</v>
      </c>
      <c r="C15" s="9">
        <v>39</v>
      </c>
      <c r="D15" s="10">
        <v>68</v>
      </c>
      <c r="E15" s="11">
        <v>64</v>
      </c>
      <c r="F15" s="12">
        <v>72</v>
      </c>
      <c r="G15" s="11">
        <v>89</v>
      </c>
      <c r="H15" s="12">
        <v>86</v>
      </c>
      <c r="O15">
        <v>4</v>
      </c>
    </row>
    <row r="16" spans="1:22" x14ac:dyDescent="0.3">
      <c r="A16" s="9">
        <v>15</v>
      </c>
      <c r="B16" s="10">
        <v>62</v>
      </c>
      <c r="C16" s="9">
        <v>40</v>
      </c>
      <c r="D16" s="10">
        <v>68</v>
      </c>
      <c r="E16" s="11">
        <v>65</v>
      </c>
      <c r="F16" s="12">
        <v>72</v>
      </c>
      <c r="G16" s="11">
        <v>90</v>
      </c>
      <c r="H16" s="12">
        <v>91</v>
      </c>
      <c r="O16">
        <v>2</v>
      </c>
      <c r="R16">
        <f>90*585</f>
        <v>52650</v>
      </c>
      <c r="T16">
        <v>580</v>
      </c>
      <c r="U16">
        <v>590</v>
      </c>
      <c r="V16">
        <v>580</v>
      </c>
    </row>
    <row r="17" spans="1:22" x14ac:dyDescent="0.3">
      <c r="A17" s="9">
        <v>16</v>
      </c>
      <c r="B17" s="10">
        <v>62</v>
      </c>
      <c r="C17" s="9">
        <v>41</v>
      </c>
      <c r="D17" s="10">
        <v>68</v>
      </c>
      <c r="E17" s="11">
        <v>66</v>
      </c>
      <c r="F17" s="12">
        <v>73</v>
      </c>
      <c r="O17">
        <v>3</v>
      </c>
      <c r="T17">
        <v>88</v>
      </c>
      <c r="U17">
        <v>88</v>
      </c>
      <c r="V17">
        <v>90</v>
      </c>
    </row>
    <row r="18" spans="1:22" x14ac:dyDescent="0.3">
      <c r="A18" s="9">
        <v>17</v>
      </c>
      <c r="B18" s="10">
        <v>62</v>
      </c>
      <c r="C18" s="9">
        <v>42</v>
      </c>
      <c r="D18" s="10">
        <v>68</v>
      </c>
      <c r="E18" s="11">
        <v>67</v>
      </c>
      <c r="F18" s="12">
        <v>73</v>
      </c>
      <c r="O18">
        <v>5</v>
      </c>
      <c r="T18">
        <f>+T16*T17</f>
        <v>51040</v>
      </c>
      <c r="U18">
        <f>+U16*U17</f>
        <v>51920</v>
      </c>
      <c r="V18">
        <f>+V16*V17</f>
        <v>52200</v>
      </c>
    </row>
    <row r="19" spans="1:22" x14ac:dyDescent="0.3">
      <c r="A19" s="9">
        <v>18</v>
      </c>
      <c r="B19" s="10">
        <v>62</v>
      </c>
      <c r="C19" s="9">
        <v>43</v>
      </c>
      <c r="D19" s="10">
        <v>68</v>
      </c>
      <c r="E19" s="11">
        <v>68</v>
      </c>
      <c r="F19" s="12">
        <v>73</v>
      </c>
      <c r="O19">
        <v>1</v>
      </c>
    </row>
    <row r="20" spans="1:22" x14ac:dyDescent="0.3">
      <c r="A20" s="9">
        <v>19</v>
      </c>
      <c r="B20" s="10">
        <v>62</v>
      </c>
      <c r="C20" s="9">
        <v>44</v>
      </c>
      <c r="D20" s="10">
        <v>69</v>
      </c>
      <c r="E20" s="11">
        <v>69</v>
      </c>
      <c r="F20" s="12">
        <v>74</v>
      </c>
      <c r="O20">
        <v>3</v>
      </c>
    </row>
    <row r="21" spans="1:22" x14ac:dyDescent="0.3">
      <c r="A21" s="9">
        <v>20</v>
      </c>
      <c r="B21" s="10">
        <v>63</v>
      </c>
      <c r="C21" s="9">
        <v>45</v>
      </c>
      <c r="D21" s="10">
        <v>69</v>
      </c>
      <c r="E21" s="11">
        <v>70</v>
      </c>
      <c r="F21" s="12">
        <v>74</v>
      </c>
      <c r="O21">
        <v>4</v>
      </c>
    </row>
    <row r="22" spans="1:22" x14ac:dyDescent="0.3">
      <c r="A22" s="9">
        <v>21</v>
      </c>
      <c r="B22" s="10">
        <v>63</v>
      </c>
      <c r="C22" s="9">
        <v>46</v>
      </c>
      <c r="D22" s="10">
        <v>69</v>
      </c>
      <c r="E22" s="11">
        <v>71</v>
      </c>
      <c r="F22" s="12">
        <v>74</v>
      </c>
      <c r="O22">
        <v>2</v>
      </c>
    </row>
    <row r="23" spans="1:22" x14ac:dyDescent="0.3">
      <c r="A23" s="9">
        <v>22</v>
      </c>
      <c r="B23" s="10">
        <v>63</v>
      </c>
      <c r="C23" s="9">
        <v>47</v>
      </c>
      <c r="D23" s="10">
        <v>69</v>
      </c>
      <c r="E23" s="11">
        <v>72</v>
      </c>
      <c r="F23" s="12">
        <v>74</v>
      </c>
      <c r="L23" s="1">
        <f>82*78</f>
        <v>6396</v>
      </c>
      <c r="O23">
        <v>2</v>
      </c>
    </row>
    <row r="24" spans="1:22" x14ac:dyDescent="0.3">
      <c r="A24" s="9">
        <v>23</v>
      </c>
      <c r="B24" s="10">
        <v>63</v>
      </c>
      <c r="C24" s="9">
        <v>48</v>
      </c>
      <c r="D24" s="10">
        <v>70</v>
      </c>
      <c r="E24" s="11">
        <v>73</v>
      </c>
      <c r="F24" s="12">
        <v>75</v>
      </c>
      <c r="O24">
        <v>6</v>
      </c>
    </row>
    <row r="25" spans="1:22" x14ac:dyDescent="0.3">
      <c r="A25" s="9">
        <v>24</v>
      </c>
      <c r="B25" s="10">
        <v>64</v>
      </c>
      <c r="C25" s="9">
        <v>49</v>
      </c>
      <c r="D25" s="10">
        <v>70</v>
      </c>
      <c r="E25" s="11">
        <v>74</v>
      </c>
      <c r="F25" s="12">
        <v>75</v>
      </c>
      <c r="O25">
        <v>1</v>
      </c>
    </row>
    <row r="26" spans="1:22" x14ac:dyDescent="0.3">
      <c r="A26" s="9">
        <v>25</v>
      </c>
      <c r="B26" s="10">
        <v>65</v>
      </c>
      <c r="C26" s="9">
        <v>50</v>
      </c>
      <c r="D26" s="10">
        <v>70</v>
      </c>
      <c r="E26" s="11">
        <v>75</v>
      </c>
      <c r="F26" s="12">
        <v>76</v>
      </c>
      <c r="K26" s="1" t="s">
        <v>77</v>
      </c>
      <c r="L26" s="1" t="s">
        <v>78</v>
      </c>
      <c r="O26">
        <v>2</v>
      </c>
    </row>
    <row r="27" spans="1:22" x14ac:dyDescent="0.3">
      <c r="B27" s="3">
        <f>+SUM(B2:B26)</f>
        <v>1508</v>
      </c>
      <c r="D27" s="3">
        <f>+SUM(D2:D26)</f>
        <v>1692</v>
      </c>
      <c r="F27" s="3">
        <f>+SUM(F2:F26)</f>
        <v>1805</v>
      </c>
      <c r="H27" s="3">
        <f>+SUM(H2:H26)</f>
        <v>1208</v>
      </c>
      <c r="J27" s="16">
        <f>+L27+K27</f>
        <v>12487</v>
      </c>
      <c r="K27" s="1">
        <f>+SUM(A27:I27)</f>
        <v>6213</v>
      </c>
      <c r="L27" s="1">
        <f>6424-150</f>
        <v>6274</v>
      </c>
      <c r="M27" t="s">
        <v>79</v>
      </c>
      <c r="O27">
        <v>3</v>
      </c>
    </row>
    <row r="28" spans="1:22" x14ac:dyDescent="0.3">
      <c r="K28" s="1">
        <v>475</v>
      </c>
      <c r="L28" s="1">
        <v>530</v>
      </c>
      <c r="O28">
        <v>4</v>
      </c>
    </row>
    <row r="29" spans="1:22" x14ac:dyDescent="0.3">
      <c r="J29" s="16">
        <f>+L29+K29</f>
        <v>6276395</v>
      </c>
      <c r="K29" s="1">
        <f>+K27*K28</f>
        <v>2951175</v>
      </c>
      <c r="L29" s="1">
        <f>+L27*L28</f>
        <v>3325220</v>
      </c>
      <c r="O29">
        <v>2</v>
      </c>
    </row>
    <row r="30" spans="1:22" x14ac:dyDescent="0.3">
      <c r="O30">
        <v>2</v>
      </c>
    </row>
    <row r="31" spans="1:22" x14ac:dyDescent="0.3">
      <c r="O31">
        <v>16</v>
      </c>
    </row>
    <row r="32" spans="1:22" x14ac:dyDescent="0.3">
      <c r="O32">
        <v>4</v>
      </c>
    </row>
    <row r="33" spans="15:15" x14ac:dyDescent="0.3">
      <c r="O33">
        <v>3</v>
      </c>
    </row>
    <row r="34" spans="15:15" x14ac:dyDescent="0.3">
      <c r="O34">
        <v>4</v>
      </c>
    </row>
    <row r="35" spans="15:15" x14ac:dyDescent="0.3">
      <c r="O35">
        <v>3</v>
      </c>
    </row>
    <row r="36" spans="15:15" x14ac:dyDescent="0.3">
      <c r="O36">
        <v>4</v>
      </c>
    </row>
    <row r="39" spans="15:15" x14ac:dyDescent="0.3">
      <c r="O39">
        <f>+SUM(O1:O38)</f>
        <v>108</v>
      </c>
    </row>
    <row r="40" spans="15:15" x14ac:dyDescent="0.3">
      <c r="O40">
        <v>170</v>
      </c>
    </row>
    <row r="41" spans="15:15" x14ac:dyDescent="0.3">
      <c r="O41">
        <f>+O40-O39</f>
        <v>62</v>
      </c>
    </row>
    <row r="88" spans="2:7" x14ac:dyDescent="0.3">
      <c r="D88" s="2">
        <v>515</v>
      </c>
      <c r="E88" s="3">
        <v>14</v>
      </c>
      <c r="F88" s="2">
        <v>70</v>
      </c>
      <c r="G88" s="2">
        <f>+E88*F88</f>
        <v>980</v>
      </c>
    </row>
    <row r="90" spans="2:7" x14ac:dyDescent="0.3">
      <c r="G90" s="2">
        <v>590000</v>
      </c>
    </row>
    <row r="91" spans="2:7" x14ac:dyDescent="0.3">
      <c r="G91" s="2">
        <f>+G90/600</f>
        <v>983.33333333333337</v>
      </c>
    </row>
    <row r="92" spans="2:7" x14ac:dyDescent="0.3">
      <c r="B92" s="3">
        <f>+SUM(B2:B91)</f>
        <v>3016</v>
      </c>
    </row>
    <row r="93" spans="2:7" x14ac:dyDescent="0.3">
      <c r="B93" s="3">
        <v>475</v>
      </c>
      <c r="E93" s="3">
        <v>588000</v>
      </c>
    </row>
    <row r="94" spans="2:7" x14ac:dyDescent="0.3">
      <c r="B94" s="3">
        <f>+B92*B93</f>
        <v>1432600</v>
      </c>
      <c r="E94" s="3">
        <v>50000</v>
      </c>
    </row>
    <row r="95" spans="2:7" x14ac:dyDescent="0.3">
      <c r="B95" s="3">
        <v>82000</v>
      </c>
      <c r="E95" s="3">
        <f>+E93+E94</f>
        <v>638000</v>
      </c>
    </row>
    <row r="96" spans="2:7" x14ac:dyDescent="0.3">
      <c r="B96" s="3">
        <v>90000</v>
      </c>
      <c r="E96" s="3">
        <f>+E95/980</f>
        <v>651.0204081632653</v>
      </c>
    </row>
    <row r="97" spans="2:5" x14ac:dyDescent="0.3">
      <c r="B97" s="3">
        <v>324000</v>
      </c>
      <c r="E97" s="3">
        <f>+E96-B100</f>
        <v>330.65495965828194</v>
      </c>
    </row>
    <row r="98" spans="2:5" x14ac:dyDescent="0.3">
      <c r="B98" s="3">
        <f>+B94+B95+B96+B97</f>
        <v>1928600</v>
      </c>
      <c r="E98" s="3">
        <f>+E97*980</f>
        <v>324041.86046511628</v>
      </c>
    </row>
    <row r="99" spans="2:5" x14ac:dyDescent="0.3">
      <c r="B99" s="3">
        <f>+B98/H15</f>
        <v>22425.581395348836</v>
      </c>
      <c r="E99" s="3">
        <v>14</v>
      </c>
    </row>
    <row r="100" spans="2:5" x14ac:dyDescent="0.3">
      <c r="B100" s="3">
        <f>+B99/70</f>
        <v>320.36544850498336</v>
      </c>
      <c r="E100" s="3">
        <f>+E98/E99</f>
        <v>23145.847176079733</v>
      </c>
    </row>
    <row r="101" spans="2:5" x14ac:dyDescent="0.3">
      <c r="E101" s="3">
        <f>+E100*90</f>
        <v>2083126.2458471761</v>
      </c>
    </row>
    <row r="102" spans="2:5" x14ac:dyDescent="0.3">
      <c r="B102" s="3">
        <v>90</v>
      </c>
    </row>
    <row r="103" spans="2:5" x14ac:dyDescent="0.3">
      <c r="B103" s="3">
        <v>40</v>
      </c>
    </row>
    <row r="104" spans="2:5" x14ac:dyDescent="0.3">
      <c r="B104" s="3">
        <v>90</v>
      </c>
    </row>
    <row r="105" spans="2:5" x14ac:dyDescent="0.3">
      <c r="B105" s="3">
        <f>+B102*B103*B104</f>
        <v>324000</v>
      </c>
    </row>
  </sheetData>
  <sortState xmlns:xlrd2="http://schemas.microsoft.com/office/spreadsheetml/2017/richdata2" ref="B2:C92">
    <sortCondition ref="B2:B9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4C3B-6CDE-423E-A434-09B3DE487614}">
  <sheetPr codeName="Sheet3"/>
  <dimension ref="A1:F121"/>
  <sheetViews>
    <sheetView topLeftCell="A10" zoomScale="115" zoomScaleNormal="115" workbookViewId="0">
      <selection activeCell="F21" sqref="F21"/>
    </sheetView>
  </sheetViews>
  <sheetFormatPr defaultRowHeight="14.4" x14ac:dyDescent="0.3"/>
  <cols>
    <col min="5" max="5" width="12.5546875" bestFit="1" customWidth="1"/>
    <col min="6" max="6" width="19" bestFit="1" customWidth="1"/>
  </cols>
  <sheetData>
    <row r="1" spans="1:6" x14ac:dyDescent="0.3">
      <c r="A1" s="4" t="s">
        <v>0</v>
      </c>
      <c r="B1" s="4" t="s">
        <v>20</v>
      </c>
      <c r="E1" s="111" t="s">
        <v>107</v>
      </c>
      <c r="F1" t="s">
        <v>109</v>
      </c>
    </row>
    <row r="2" spans="1:6" x14ac:dyDescent="0.3">
      <c r="A2">
        <v>1</v>
      </c>
      <c r="B2" s="19">
        <v>46125</v>
      </c>
      <c r="E2" s="112">
        <v>46125</v>
      </c>
      <c r="F2">
        <v>1</v>
      </c>
    </row>
    <row r="3" spans="1:6" x14ac:dyDescent="0.3">
      <c r="A3">
        <v>2</v>
      </c>
      <c r="B3" s="19">
        <v>46126</v>
      </c>
      <c r="E3" s="112">
        <v>46126</v>
      </c>
      <c r="F3">
        <v>2</v>
      </c>
    </row>
    <row r="4" spans="1:6" x14ac:dyDescent="0.3">
      <c r="A4">
        <v>3</v>
      </c>
      <c r="B4" s="19">
        <v>46126</v>
      </c>
      <c r="E4" s="112">
        <v>46130</v>
      </c>
      <c r="F4">
        <v>11</v>
      </c>
    </row>
    <row r="5" spans="1:6" x14ac:dyDescent="0.3">
      <c r="A5">
        <v>4</v>
      </c>
      <c r="B5" s="19">
        <v>46130</v>
      </c>
      <c r="E5" s="112">
        <v>46131</v>
      </c>
      <c r="F5">
        <v>22</v>
      </c>
    </row>
    <row r="6" spans="1:6" x14ac:dyDescent="0.3">
      <c r="A6">
        <v>5</v>
      </c>
      <c r="B6" s="19">
        <v>46130</v>
      </c>
      <c r="E6" s="112">
        <v>46134</v>
      </c>
      <c r="F6">
        <v>3</v>
      </c>
    </row>
    <row r="7" spans="1:6" x14ac:dyDescent="0.3">
      <c r="A7">
        <v>6</v>
      </c>
      <c r="B7" s="19">
        <v>46130</v>
      </c>
      <c r="E7" s="112">
        <v>46137</v>
      </c>
      <c r="F7">
        <v>5</v>
      </c>
    </row>
    <row r="8" spans="1:6" x14ac:dyDescent="0.3">
      <c r="A8">
        <v>7</v>
      </c>
      <c r="B8" s="19">
        <v>46130</v>
      </c>
      <c r="E8" s="112">
        <v>46138</v>
      </c>
      <c r="F8">
        <v>10</v>
      </c>
    </row>
    <row r="9" spans="1:6" x14ac:dyDescent="0.3">
      <c r="A9">
        <v>8</v>
      </c>
      <c r="B9" s="19">
        <v>46130</v>
      </c>
      <c r="E9" s="112">
        <v>46142</v>
      </c>
      <c r="F9">
        <v>8</v>
      </c>
    </row>
    <row r="10" spans="1:6" x14ac:dyDescent="0.3">
      <c r="A10">
        <v>9</v>
      </c>
      <c r="B10" s="19">
        <v>46130</v>
      </c>
      <c r="E10" s="112">
        <v>46143</v>
      </c>
      <c r="F10">
        <v>10</v>
      </c>
    </row>
    <row r="11" spans="1:6" x14ac:dyDescent="0.3">
      <c r="A11">
        <v>10</v>
      </c>
      <c r="B11" s="19">
        <v>46130</v>
      </c>
      <c r="E11" s="112">
        <v>46144</v>
      </c>
      <c r="F11">
        <v>4</v>
      </c>
    </row>
    <row r="12" spans="1:6" x14ac:dyDescent="0.3">
      <c r="A12">
        <v>11</v>
      </c>
      <c r="B12" s="19">
        <v>46130</v>
      </c>
      <c r="E12" s="112">
        <v>46145</v>
      </c>
      <c r="F12">
        <v>16</v>
      </c>
    </row>
    <row r="13" spans="1:6" x14ac:dyDescent="0.3">
      <c r="A13">
        <v>12</v>
      </c>
      <c r="B13" s="19">
        <v>46130</v>
      </c>
      <c r="E13" s="112">
        <v>46146</v>
      </c>
      <c r="F13">
        <v>3</v>
      </c>
    </row>
    <row r="14" spans="1:6" x14ac:dyDescent="0.3">
      <c r="A14">
        <v>13</v>
      </c>
      <c r="B14" s="19">
        <v>46130</v>
      </c>
      <c r="E14" s="112">
        <v>46147</v>
      </c>
      <c r="F14">
        <v>7</v>
      </c>
    </row>
    <row r="15" spans="1:6" x14ac:dyDescent="0.3">
      <c r="A15">
        <v>14</v>
      </c>
      <c r="B15" s="19">
        <v>46130</v>
      </c>
      <c r="E15" s="112">
        <v>46150</v>
      </c>
      <c r="F15">
        <v>6</v>
      </c>
    </row>
    <row r="16" spans="1:6" x14ac:dyDescent="0.3">
      <c r="A16">
        <v>15</v>
      </c>
      <c r="B16" s="19">
        <v>46131</v>
      </c>
      <c r="E16" s="112">
        <v>46151</v>
      </c>
      <c r="F16">
        <v>5</v>
      </c>
    </row>
    <row r="17" spans="1:6" x14ac:dyDescent="0.3">
      <c r="A17">
        <v>16</v>
      </c>
      <c r="B17" s="19">
        <v>46131</v>
      </c>
      <c r="E17" s="112">
        <v>46152</v>
      </c>
      <c r="F17">
        <v>7</v>
      </c>
    </row>
    <row r="18" spans="1:6" x14ac:dyDescent="0.3">
      <c r="A18">
        <v>17</v>
      </c>
      <c r="B18" s="19">
        <v>46131</v>
      </c>
      <c r="E18" s="112" t="s">
        <v>108</v>
      </c>
      <c r="F18">
        <v>120</v>
      </c>
    </row>
    <row r="19" spans="1:6" x14ac:dyDescent="0.3">
      <c r="A19">
        <v>18</v>
      </c>
      <c r="B19" s="19">
        <v>46131</v>
      </c>
    </row>
    <row r="20" spans="1:6" x14ac:dyDescent="0.3">
      <c r="A20">
        <v>19</v>
      </c>
      <c r="B20" s="19">
        <v>46131</v>
      </c>
    </row>
    <row r="21" spans="1:6" x14ac:dyDescent="0.3">
      <c r="A21">
        <v>20</v>
      </c>
      <c r="B21" s="19">
        <v>46131</v>
      </c>
    </row>
    <row r="22" spans="1:6" x14ac:dyDescent="0.3">
      <c r="A22">
        <v>21</v>
      </c>
      <c r="B22" s="19">
        <v>46131</v>
      </c>
    </row>
    <row r="23" spans="1:6" x14ac:dyDescent="0.3">
      <c r="A23">
        <v>22</v>
      </c>
      <c r="B23" s="19">
        <v>46131</v>
      </c>
    </row>
    <row r="24" spans="1:6" x14ac:dyDescent="0.3">
      <c r="A24">
        <v>23</v>
      </c>
      <c r="B24" s="19">
        <v>46131</v>
      </c>
    </row>
    <row r="25" spans="1:6" x14ac:dyDescent="0.3">
      <c r="A25">
        <v>24</v>
      </c>
      <c r="B25" s="19">
        <v>46131</v>
      </c>
    </row>
    <row r="26" spans="1:6" x14ac:dyDescent="0.3">
      <c r="A26">
        <v>25</v>
      </c>
      <c r="B26" s="19">
        <v>46131</v>
      </c>
    </row>
    <row r="27" spans="1:6" x14ac:dyDescent="0.3">
      <c r="A27">
        <v>26</v>
      </c>
      <c r="B27" s="19">
        <v>46131</v>
      </c>
    </row>
    <row r="28" spans="1:6" x14ac:dyDescent="0.3">
      <c r="A28">
        <v>27</v>
      </c>
      <c r="B28" s="19">
        <v>46131</v>
      </c>
    </row>
    <row r="29" spans="1:6" x14ac:dyDescent="0.3">
      <c r="A29">
        <v>28</v>
      </c>
      <c r="B29" s="19">
        <v>46131</v>
      </c>
    </row>
    <row r="30" spans="1:6" x14ac:dyDescent="0.3">
      <c r="A30">
        <v>29</v>
      </c>
      <c r="B30" s="19">
        <v>46131</v>
      </c>
    </row>
    <row r="31" spans="1:6" x14ac:dyDescent="0.3">
      <c r="A31">
        <v>30</v>
      </c>
      <c r="B31" s="19">
        <v>46131</v>
      </c>
    </row>
    <row r="32" spans="1:6" x14ac:dyDescent="0.3">
      <c r="A32">
        <v>31</v>
      </c>
      <c r="B32" s="19">
        <v>46131</v>
      </c>
    </row>
    <row r="33" spans="1:2" x14ac:dyDescent="0.3">
      <c r="A33">
        <v>32</v>
      </c>
      <c r="B33" s="19">
        <v>46131</v>
      </c>
    </row>
    <row r="34" spans="1:2" x14ac:dyDescent="0.3">
      <c r="A34">
        <v>33</v>
      </c>
      <c r="B34" s="19">
        <v>46131</v>
      </c>
    </row>
    <row r="35" spans="1:2" x14ac:dyDescent="0.3">
      <c r="A35">
        <v>34</v>
      </c>
      <c r="B35" s="19">
        <v>46131</v>
      </c>
    </row>
    <row r="36" spans="1:2" x14ac:dyDescent="0.3">
      <c r="A36">
        <v>35</v>
      </c>
      <c r="B36" s="19">
        <v>46131</v>
      </c>
    </row>
    <row r="37" spans="1:2" x14ac:dyDescent="0.3">
      <c r="A37">
        <v>36</v>
      </c>
      <c r="B37" s="19">
        <v>46131</v>
      </c>
    </row>
    <row r="38" spans="1:2" x14ac:dyDescent="0.3">
      <c r="A38">
        <v>37</v>
      </c>
      <c r="B38" s="19">
        <v>46134</v>
      </c>
    </row>
    <row r="39" spans="1:2" x14ac:dyDescent="0.3">
      <c r="A39">
        <v>38</v>
      </c>
      <c r="B39" s="19">
        <v>46134</v>
      </c>
    </row>
    <row r="40" spans="1:2" x14ac:dyDescent="0.3">
      <c r="A40">
        <v>39</v>
      </c>
      <c r="B40" s="19">
        <v>46134</v>
      </c>
    </row>
    <row r="41" spans="1:2" x14ac:dyDescent="0.3">
      <c r="A41">
        <v>40</v>
      </c>
      <c r="B41" s="19">
        <v>46137</v>
      </c>
    </row>
    <row r="42" spans="1:2" x14ac:dyDescent="0.3">
      <c r="A42">
        <v>41</v>
      </c>
      <c r="B42" s="19">
        <v>46137</v>
      </c>
    </row>
    <row r="43" spans="1:2" x14ac:dyDescent="0.3">
      <c r="A43">
        <v>42</v>
      </c>
      <c r="B43" s="19">
        <v>46137</v>
      </c>
    </row>
    <row r="44" spans="1:2" x14ac:dyDescent="0.3">
      <c r="A44">
        <v>43</v>
      </c>
      <c r="B44" s="19">
        <v>46137</v>
      </c>
    </row>
    <row r="45" spans="1:2" x14ac:dyDescent="0.3">
      <c r="A45">
        <v>44</v>
      </c>
      <c r="B45" s="19">
        <v>46137</v>
      </c>
    </row>
    <row r="46" spans="1:2" x14ac:dyDescent="0.3">
      <c r="A46">
        <v>45</v>
      </c>
      <c r="B46" s="19">
        <v>46138</v>
      </c>
    </row>
    <row r="47" spans="1:2" x14ac:dyDescent="0.3">
      <c r="A47">
        <v>46</v>
      </c>
      <c r="B47" s="19">
        <v>46138</v>
      </c>
    </row>
    <row r="48" spans="1:2" x14ac:dyDescent="0.3">
      <c r="A48">
        <v>47</v>
      </c>
      <c r="B48" s="19">
        <v>46138</v>
      </c>
    </row>
    <row r="49" spans="1:2" x14ac:dyDescent="0.3">
      <c r="A49">
        <v>48</v>
      </c>
      <c r="B49" s="19">
        <v>46138</v>
      </c>
    </row>
    <row r="50" spans="1:2" x14ac:dyDescent="0.3">
      <c r="A50">
        <v>49</v>
      </c>
      <c r="B50" s="19">
        <v>46138</v>
      </c>
    </row>
    <row r="51" spans="1:2" x14ac:dyDescent="0.3">
      <c r="A51">
        <v>50</v>
      </c>
      <c r="B51" s="19">
        <v>46138</v>
      </c>
    </row>
    <row r="52" spans="1:2" x14ac:dyDescent="0.3">
      <c r="A52">
        <v>51</v>
      </c>
      <c r="B52" s="19">
        <v>46138</v>
      </c>
    </row>
    <row r="53" spans="1:2" x14ac:dyDescent="0.3">
      <c r="A53">
        <v>52</v>
      </c>
      <c r="B53" s="19">
        <v>46138</v>
      </c>
    </row>
    <row r="54" spans="1:2" x14ac:dyDescent="0.3">
      <c r="A54" s="43">
        <v>53</v>
      </c>
      <c r="B54" s="44">
        <v>46138</v>
      </c>
    </row>
    <row r="55" spans="1:2" x14ac:dyDescent="0.3">
      <c r="A55" s="43">
        <v>54</v>
      </c>
      <c r="B55" s="44">
        <v>46138</v>
      </c>
    </row>
    <row r="56" spans="1:2" x14ac:dyDescent="0.3">
      <c r="A56">
        <v>55</v>
      </c>
      <c r="B56" s="19">
        <v>46142</v>
      </c>
    </row>
    <row r="57" spans="1:2" x14ac:dyDescent="0.3">
      <c r="A57">
        <v>56</v>
      </c>
      <c r="B57" s="19">
        <v>46142</v>
      </c>
    </row>
    <row r="58" spans="1:2" x14ac:dyDescent="0.3">
      <c r="A58">
        <v>57</v>
      </c>
      <c r="B58" s="19">
        <v>46142</v>
      </c>
    </row>
    <row r="59" spans="1:2" x14ac:dyDescent="0.3">
      <c r="A59">
        <v>58</v>
      </c>
      <c r="B59" s="19">
        <v>46142</v>
      </c>
    </row>
    <row r="60" spans="1:2" x14ac:dyDescent="0.3">
      <c r="A60">
        <v>59</v>
      </c>
      <c r="B60" s="19">
        <v>46142</v>
      </c>
    </row>
    <row r="61" spans="1:2" x14ac:dyDescent="0.3">
      <c r="A61">
        <v>60</v>
      </c>
      <c r="B61" s="19">
        <v>46142</v>
      </c>
    </row>
    <row r="62" spans="1:2" x14ac:dyDescent="0.3">
      <c r="A62">
        <v>61</v>
      </c>
      <c r="B62" s="19">
        <v>46142</v>
      </c>
    </row>
    <row r="63" spans="1:2" x14ac:dyDescent="0.3">
      <c r="A63">
        <v>62</v>
      </c>
      <c r="B63" s="19">
        <v>46142</v>
      </c>
    </row>
    <row r="64" spans="1:2" x14ac:dyDescent="0.3">
      <c r="A64">
        <v>63</v>
      </c>
      <c r="B64" s="19">
        <v>46143</v>
      </c>
    </row>
    <row r="65" spans="1:2" x14ac:dyDescent="0.3">
      <c r="A65">
        <v>64</v>
      </c>
      <c r="B65" s="19">
        <v>46143</v>
      </c>
    </row>
    <row r="66" spans="1:2" x14ac:dyDescent="0.3">
      <c r="A66">
        <v>65</v>
      </c>
      <c r="B66" s="19">
        <v>46143</v>
      </c>
    </row>
    <row r="67" spans="1:2" x14ac:dyDescent="0.3">
      <c r="A67">
        <v>66</v>
      </c>
      <c r="B67" s="19">
        <v>46143</v>
      </c>
    </row>
    <row r="68" spans="1:2" x14ac:dyDescent="0.3">
      <c r="A68">
        <v>67</v>
      </c>
      <c r="B68" s="19">
        <v>46143</v>
      </c>
    </row>
    <row r="69" spans="1:2" x14ac:dyDescent="0.3">
      <c r="A69">
        <v>68</v>
      </c>
      <c r="B69" s="19">
        <v>46143</v>
      </c>
    </row>
    <row r="70" spans="1:2" x14ac:dyDescent="0.3">
      <c r="A70">
        <v>69</v>
      </c>
      <c r="B70" s="19">
        <v>46143</v>
      </c>
    </row>
    <row r="71" spans="1:2" x14ac:dyDescent="0.3">
      <c r="A71">
        <v>70</v>
      </c>
      <c r="B71" s="19">
        <v>46143</v>
      </c>
    </row>
    <row r="72" spans="1:2" x14ac:dyDescent="0.3">
      <c r="A72">
        <v>71</v>
      </c>
      <c r="B72" s="19">
        <v>46143</v>
      </c>
    </row>
    <row r="73" spans="1:2" x14ac:dyDescent="0.3">
      <c r="A73">
        <v>72</v>
      </c>
      <c r="B73" s="19">
        <v>46143</v>
      </c>
    </row>
    <row r="74" spans="1:2" x14ac:dyDescent="0.3">
      <c r="A74">
        <v>73</v>
      </c>
      <c r="B74" s="19">
        <v>46144</v>
      </c>
    </row>
    <row r="75" spans="1:2" x14ac:dyDescent="0.3">
      <c r="A75">
        <v>74</v>
      </c>
      <c r="B75" s="19">
        <v>46144</v>
      </c>
    </row>
    <row r="76" spans="1:2" x14ac:dyDescent="0.3">
      <c r="A76">
        <v>75</v>
      </c>
      <c r="B76" s="19">
        <v>46144</v>
      </c>
    </row>
    <row r="77" spans="1:2" x14ac:dyDescent="0.3">
      <c r="A77">
        <v>76</v>
      </c>
      <c r="B77" s="19">
        <v>46144</v>
      </c>
    </row>
    <row r="78" spans="1:2" x14ac:dyDescent="0.3">
      <c r="A78">
        <v>77</v>
      </c>
      <c r="B78" s="19">
        <v>46145</v>
      </c>
    </row>
    <row r="79" spans="1:2" x14ac:dyDescent="0.3">
      <c r="A79">
        <v>78</v>
      </c>
      <c r="B79" s="19">
        <v>46145</v>
      </c>
    </row>
    <row r="80" spans="1:2" x14ac:dyDescent="0.3">
      <c r="A80">
        <v>79</v>
      </c>
      <c r="B80" s="19">
        <v>46145</v>
      </c>
    </row>
    <row r="81" spans="1:2" x14ac:dyDescent="0.3">
      <c r="A81">
        <v>80</v>
      </c>
      <c r="B81" s="101">
        <v>46146</v>
      </c>
    </row>
    <row r="82" spans="1:2" x14ac:dyDescent="0.3">
      <c r="A82">
        <v>81</v>
      </c>
      <c r="B82" s="19">
        <v>46145</v>
      </c>
    </row>
    <row r="83" spans="1:2" x14ac:dyDescent="0.3">
      <c r="A83">
        <v>82</v>
      </c>
      <c r="B83" s="19">
        <v>46145</v>
      </c>
    </row>
    <row r="84" spans="1:2" x14ac:dyDescent="0.3">
      <c r="A84">
        <v>83</v>
      </c>
      <c r="B84" s="19">
        <v>46145</v>
      </c>
    </row>
    <row r="85" spans="1:2" x14ac:dyDescent="0.3">
      <c r="A85">
        <v>84</v>
      </c>
      <c r="B85" s="19">
        <v>46145</v>
      </c>
    </row>
    <row r="86" spans="1:2" x14ac:dyDescent="0.3">
      <c r="A86">
        <v>85</v>
      </c>
      <c r="B86" s="19">
        <v>46145</v>
      </c>
    </row>
    <row r="87" spans="1:2" x14ac:dyDescent="0.3">
      <c r="A87">
        <v>86</v>
      </c>
      <c r="B87" s="19">
        <v>46145</v>
      </c>
    </row>
    <row r="88" spans="1:2" x14ac:dyDescent="0.3">
      <c r="A88">
        <v>87</v>
      </c>
      <c r="B88" s="19">
        <v>46145</v>
      </c>
    </row>
    <row r="89" spans="1:2" x14ac:dyDescent="0.3">
      <c r="A89">
        <v>88</v>
      </c>
      <c r="B89" s="19">
        <v>46145</v>
      </c>
    </row>
    <row r="90" spans="1:2" x14ac:dyDescent="0.3">
      <c r="A90">
        <v>89</v>
      </c>
      <c r="B90" s="19">
        <v>46145</v>
      </c>
    </row>
    <row r="91" spans="1:2" x14ac:dyDescent="0.3">
      <c r="A91">
        <v>90</v>
      </c>
      <c r="B91" s="19">
        <v>46145</v>
      </c>
    </row>
    <row r="92" spans="1:2" x14ac:dyDescent="0.3">
      <c r="A92">
        <v>91</v>
      </c>
      <c r="B92" s="19">
        <v>46145</v>
      </c>
    </row>
    <row r="93" spans="1:2" x14ac:dyDescent="0.3">
      <c r="A93">
        <v>92</v>
      </c>
      <c r="B93" s="19">
        <v>46145</v>
      </c>
    </row>
    <row r="94" spans="1:2" x14ac:dyDescent="0.3">
      <c r="A94">
        <v>93</v>
      </c>
      <c r="B94" s="19">
        <v>46145</v>
      </c>
    </row>
    <row r="95" spans="1:2" x14ac:dyDescent="0.3">
      <c r="A95">
        <v>94</v>
      </c>
      <c r="B95" s="19">
        <v>46146</v>
      </c>
    </row>
    <row r="96" spans="1:2" x14ac:dyDescent="0.3">
      <c r="A96">
        <v>95</v>
      </c>
      <c r="B96" s="19">
        <v>46146</v>
      </c>
    </row>
    <row r="97" spans="1:2" x14ac:dyDescent="0.3">
      <c r="A97">
        <v>96</v>
      </c>
      <c r="B97" s="19">
        <v>46147</v>
      </c>
    </row>
    <row r="98" spans="1:2" x14ac:dyDescent="0.3">
      <c r="A98">
        <v>97</v>
      </c>
      <c r="B98" s="19">
        <v>46147</v>
      </c>
    </row>
    <row r="99" spans="1:2" x14ac:dyDescent="0.3">
      <c r="A99">
        <v>98</v>
      </c>
      <c r="B99" s="19">
        <v>46147</v>
      </c>
    </row>
    <row r="100" spans="1:2" x14ac:dyDescent="0.3">
      <c r="A100">
        <v>99</v>
      </c>
      <c r="B100" s="19">
        <v>46147</v>
      </c>
    </row>
    <row r="101" spans="1:2" x14ac:dyDescent="0.3">
      <c r="A101">
        <v>100</v>
      </c>
      <c r="B101" s="19">
        <v>46147</v>
      </c>
    </row>
    <row r="102" spans="1:2" x14ac:dyDescent="0.3">
      <c r="A102">
        <v>101</v>
      </c>
      <c r="B102" s="19">
        <v>46147</v>
      </c>
    </row>
    <row r="103" spans="1:2" x14ac:dyDescent="0.3">
      <c r="A103">
        <v>102</v>
      </c>
      <c r="B103" s="19">
        <v>46147</v>
      </c>
    </row>
    <row r="104" spans="1:2" x14ac:dyDescent="0.3">
      <c r="A104">
        <v>103</v>
      </c>
      <c r="B104" s="19">
        <v>46150</v>
      </c>
    </row>
    <row r="105" spans="1:2" x14ac:dyDescent="0.3">
      <c r="A105">
        <v>104</v>
      </c>
      <c r="B105" s="19">
        <v>46150</v>
      </c>
    </row>
    <row r="106" spans="1:2" x14ac:dyDescent="0.3">
      <c r="A106">
        <v>105</v>
      </c>
      <c r="B106" s="19">
        <v>46150</v>
      </c>
    </row>
    <row r="107" spans="1:2" x14ac:dyDescent="0.3">
      <c r="A107">
        <v>106</v>
      </c>
      <c r="B107" s="19">
        <v>46150</v>
      </c>
    </row>
    <row r="108" spans="1:2" x14ac:dyDescent="0.3">
      <c r="A108">
        <v>107</v>
      </c>
      <c r="B108" s="19">
        <v>46150</v>
      </c>
    </row>
    <row r="109" spans="1:2" x14ac:dyDescent="0.3">
      <c r="A109">
        <v>108</v>
      </c>
      <c r="B109" s="19">
        <v>46150</v>
      </c>
    </row>
    <row r="110" spans="1:2" x14ac:dyDescent="0.3">
      <c r="A110">
        <v>109</v>
      </c>
      <c r="B110" s="19">
        <v>46151</v>
      </c>
    </row>
    <row r="111" spans="1:2" x14ac:dyDescent="0.3">
      <c r="A111">
        <v>110</v>
      </c>
      <c r="B111" s="19">
        <v>46151</v>
      </c>
    </row>
    <row r="112" spans="1:2" x14ac:dyDescent="0.3">
      <c r="A112">
        <v>111</v>
      </c>
      <c r="B112" s="19">
        <v>46151</v>
      </c>
    </row>
    <row r="113" spans="1:2" x14ac:dyDescent="0.3">
      <c r="A113">
        <v>112</v>
      </c>
      <c r="B113" s="19">
        <v>46151</v>
      </c>
    </row>
    <row r="114" spans="1:2" x14ac:dyDescent="0.3">
      <c r="A114">
        <v>113</v>
      </c>
      <c r="B114" s="19">
        <v>46151</v>
      </c>
    </row>
    <row r="115" spans="1:2" x14ac:dyDescent="0.3">
      <c r="A115">
        <v>114</v>
      </c>
      <c r="B115" s="19">
        <v>46152</v>
      </c>
    </row>
    <row r="116" spans="1:2" x14ac:dyDescent="0.3">
      <c r="A116">
        <v>115</v>
      </c>
      <c r="B116" s="19">
        <v>46152</v>
      </c>
    </row>
    <row r="117" spans="1:2" x14ac:dyDescent="0.3">
      <c r="A117">
        <v>116</v>
      </c>
      <c r="B117" s="19">
        <v>46152</v>
      </c>
    </row>
    <row r="118" spans="1:2" x14ac:dyDescent="0.3">
      <c r="A118">
        <v>117</v>
      </c>
      <c r="B118" s="19">
        <v>46152</v>
      </c>
    </row>
    <row r="119" spans="1:2" x14ac:dyDescent="0.3">
      <c r="A119">
        <v>118</v>
      </c>
      <c r="B119" s="19">
        <v>46152</v>
      </c>
    </row>
    <row r="120" spans="1:2" x14ac:dyDescent="0.3">
      <c r="A120">
        <v>119</v>
      </c>
      <c r="B120" s="19">
        <v>46152</v>
      </c>
    </row>
    <row r="121" spans="1:2" x14ac:dyDescent="0.3">
      <c r="A121">
        <v>120</v>
      </c>
      <c r="B121" s="19">
        <v>46152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6AEB-918D-4033-9CA7-88E438D51B0C}">
  <sheetPr codeName="Sheet4"/>
  <dimension ref="A1:U158"/>
  <sheetViews>
    <sheetView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B1" sqref="B1"/>
    </sheetView>
  </sheetViews>
  <sheetFormatPr defaultRowHeight="14.4" x14ac:dyDescent="0.3"/>
  <cols>
    <col min="1" max="1" width="14.77734375" customWidth="1"/>
    <col min="2" max="2" width="12" bestFit="1" customWidth="1"/>
    <col min="3" max="3" width="25" style="2" bestFit="1" customWidth="1"/>
    <col min="4" max="4" width="12.21875" style="2" bestFit="1" customWidth="1"/>
    <col min="5" max="5" width="13.5546875" style="2" bestFit="1" customWidth="1"/>
    <col min="6" max="6" width="13.44140625" style="3" bestFit="1" customWidth="1"/>
    <col min="7" max="7" width="14.5546875" style="3" bestFit="1" customWidth="1"/>
    <col min="8" max="8" width="13.33203125" style="3" customWidth="1"/>
    <col min="9" max="9" width="18.5546875" style="3" bestFit="1" customWidth="1"/>
    <col min="10" max="10" width="13.44140625" style="3" bestFit="1" customWidth="1"/>
    <col min="11" max="11" width="11.6640625" style="3" bestFit="1" customWidth="1"/>
    <col min="12" max="12" width="12.44140625" style="15" bestFit="1" customWidth="1"/>
    <col min="13" max="13" width="13.44140625" style="1" bestFit="1" customWidth="1"/>
    <col min="14" max="14" width="12.33203125" style="1" bestFit="1" customWidth="1"/>
    <col min="15" max="15" width="13.44140625" style="1" bestFit="1" customWidth="1"/>
    <col min="16" max="16" width="12.33203125" style="15" bestFit="1" customWidth="1"/>
    <col min="17" max="17" width="11.109375" style="15" bestFit="1" customWidth="1"/>
    <col min="18" max="18" width="10.109375" style="15" bestFit="1" customWidth="1"/>
    <col min="19" max="19" width="12.33203125" style="15" bestFit="1" customWidth="1"/>
    <col min="20" max="20" width="9.6640625" bestFit="1" customWidth="1"/>
    <col min="21" max="21" width="12.33203125" bestFit="1" customWidth="1"/>
  </cols>
  <sheetData>
    <row r="1" spans="1:19" ht="28.8" x14ac:dyDescent="0.3">
      <c r="A1" s="29" t="s">
        <v>26</v>
      </c>
      <c r="B1" s="30">
        <v>82000</v>
      </c>
      <c r="C1" s="15" t="s">
        <v>24</v>
      </c>
      <c r="D1" s="30">
        <v>90000</v>
      </c>
      <c r="E1" s="15" t="s">
        <v>29</v>
      </c>
      <c r="F1" s="27">
        <v>46126</v>
      </c>
      <c r="G1" s="27">
        <v>46162</v>
      </c>
      <c r="H1" s="15">
        <f>+G1-F1</f>
        <v>36</v>
      </c>
      <c r="I1" s="15"/>
      <c r="J1" s="28"/>
      <c r="K1" s="15"/>
    </row>
    <row r="2" spans="1:19" x14ac:dyDescent="0.3">
      <c r="A2" s="15" t="s">
        <v>27</v>
      </c>
      <c r="B2" s="15">
        <v>90</v>
      </c>
      <c r="C2" s="15" t="s">
        <v>27</v>
      </c>
      <c r="D2" s="15">
        <v>90</v>
      </c>
      <c r="E2" s="15" t="s">
        <v>30</v>
      </c>
      <c r="F2" s="15">
        <v>90</v>
      </c>
      <c r="G2" s="15" t="s">
        <v>32</v>
      </c>
      <c r="H2" s="15">
        <f>+F2*H1</f>
        <v>3240</v>
      </c>
      <c r="I2" s="15"/>
      <c r="J2" s="15"/>
      <c r="K2" s="15"/>
    </row>
    <row r="3" spans="1:19" x14ac:dyDescent="0.3">
      <c r="A3" s="15" t="s">
        <v>28</v>
      </c>
      <c r="B3" s="15">
        <f>+B1/B2</f>
        <v>911.11111111111109</v>
      </c>
      <c r="C3" s="15" t="s">
        <v>28</v>
      </c>
      <c r="D3" s="15">
        <f>+D1/D2</f>
        <v>1000</v>
      </c>
      <c r="E3" s="15" t="s">
        <v>31</v>
      </c>
      <c r="F3" s="15">
        <v>90</v>
      </c>
      <c r="G3" s="15" t="s">
        <v>38</v>
      </c>
      <c r="H3" s="30">
        <f>+H1*F2*F3</f>
        <v>291600</v>
      </c>
      <c r="I3" s="15"/>
      <c r="J3" s="15"/>
      <c r="K3" s="15"/>
    </row>
    <row r="4" spans="1:19" x14ac:dyDescent="0.3">
      <c r="A4" s="1"/>
      <c r="B4" s="1"/>
      <c r="C4" s="3"/>
      <c r="D4" s="3"/>
      <c r="E4" s="3"/>
    </row>
    <row r="5" spans="1:19" s="4" customFormat="1" x14ac:dyDescent="0.3">
      <c r="A5" s="4" t="s">
        <v>0</v>
      </c>
      <c r="B5" s="4" t="s">
        <v>20</v>
      </c>
      <c r="C5" s="4" t="s">
        <v>2</v>
      </c>
      <c r="D5" s="4" t="s">
        <v>1</v>
      </c>
      <c r="E5" s="23" t="s">
        <v>21</v>
      </c>
      <c r="F5" s="24" t="s">
        <v>22</v>
      </c>
      <c r="G5" s="24" t="s">
        <v>23</v>
      </c>
      <c r="H5" s="24" t="s">
        <v>24</v>
      </c>
      <c r="I5" s="24" t="s">
        <v>4</v>
      </c>
      <c r="J5" s="24" t="s">
        <v>25</v>
      </c>
      <c r="K5" s="24" t="s">
        <v>34</v>
      </c>
      <c r="L5" s="34" t="s">
        <v>3</v>
      </c>
      <c r="M5" s="33" t="s">
        <v>5</v>
      </c>
      <c r="N5" s="33" t="s">
        <v>4</v>
      </c>
      <c r="O5" s="33" t="s">
        <v>7</v>
      </c>
      <c r="P5" s="34" t="s">
        <v>33</v>
      </c>
      <c r="Q5" s="34" t="s">
        <v>35</v>
      </c>
      <c r="R5" s="34" t="s">
        <v>36</v>
      </c>
      <c r="S5" s="34" t="s">
        <v>33</v>
      </c>
    </row>
    <row r="6" spans="1:19" x14ac:dyDescent="0.3">
      <c r="A6">
        <v>1</v>
      </c>
      <c r="B6" s="19">
        <v>46125</v>
      </c>
      <c r="C6" s="2" t="s">
        <v>6</v>
      </c>
      <c r="D6" s="2">
        <v>83</v>
      </c>
      <c r="E6" s="2">
        <v>475</v>
      </c>
      <c r="F6" s="3">
        <f>+D6*E6</f>
        <v>39425</v>
      </c>
      <c r="G6" s="3">
        <f>+$B$3</f>
        <v>911.11111111111109</v>
      </c>
      <c r="H6" s="3">
        <f>+$D$3</f>
        <v>1000</v>
      </c>
      <c r="I6" s="3">
        <f>+$H$2</f>
        <v>3240</v>
      </c>
      <c r="J6" s="3">
        <f>+SUM(F6:I6)</f>
        <v>44576.111111111109</v>
      </c>
      <c r="K6" s="3">
        <f>+J6/D6</f>
        <v>537.06157965194109</v>
      </c>
      <c r="L6" s="15">
        <v>600</v>
      </c>
      <c r="M6" s="1">
        <f>+D6*L6</f>
        <v>49800</v>
      </c>
      <c r="N6" s="1">
        <v>4000</v>
      </c>
      <c r="O6" s="1">
        <f>+M6+N6</f>
        <v>53800</v>
      </c>
      <c r="P6" s="15">
        <f>+O6-J6</f>
        <v>9223.8888888888905</v>
      </c>
      <c r="Q6" s="15">
        <f>+O6/D6</f>
        <v>648.19277108433732</v>
      </c>
      <c r="R6" s="15">
        <f>+Q6-K6</f>
        <v>111.13119143239624</v>
      </c>
      <c r="S6" s="15">
        <f>+R6*D6</f>
        <v>9223.8888888888869</v>
      </c>
    </row>
    <row r="7" spans="1:19" x14ac:dyDescent="0.3">
      <c r="A7">
        <v>2</v>
      </c>
      <c r="B7" s="19">
        <v>46126</v>
      </c>
      <c r="C7" s="2" t="s">
        <v>8</v>
      </c>
      <c r="D7" s="122">
        <v>136</v>
      </c>
      <c r="E7" s="2">
        <v>475</v>
      </c>
      <c r="F7" s="118">
        <f>+D7*E7</f>
        <v>64600</v>
      </c>
      <c r="G7" s="3">
        <f t="shared" ref="G7:G71" si="0">+$B$3</f>
        <v>911.11111111111109</v>
      </c>
      <c r="H7" s="3">
        <f t="shared" ref="H7:H71" si="1">+$D$3</f>
        <v>1000</v>
      </c>
      <c r="I7" s="3">
        <f t="shared" ref="I7:I71" si="2">+$H$2</f>
        <v>3240</v>
      </c>
      <c r="J7" s="118">
        <f>+F7+SUM(G7:I7)+SUM(G8:I8)</f>
        <v>74902.222222222219</v>
      </c>
      <c r="K7" s="118">
        <f>+J7/D7</f>
        <v>550.75163398692803</v>
      </c>
      <c r="L7" s="118">
        <v>600</v>
      </c>
      <c r="M7" s="118">
        <f>+D7*L7</f>
        <v>81600</v>
      </c>
      <c r="N7" s="1">
        <v>4000</v>
      </c>
      <c r="O7" s="118">
        <f>+M7+N7+N8</f>
        <v>89600</v>
      </c>
      <c r="P7" s="118">
        <f>+O7-J7</f>
        <v>14697.777777777781</v>
      </c>
      <c r="Q7" s="118">
        <f>+O7/D7</f>
        <v>658.82352941176475</v>
      </c>
      <c r="R7" s="118">
        <f>+Q7-K7</f>
        <v>108.07189542483673</v>
      </c>
      <c r="S7" s="118">
        <f>+R7*D7</f>
        <v>14697.777777777796</v>
      </c>
    </row>
    <row r="8" spans="1:19" x14ac:dyDescent="0.3">
      <c r="A8">
        <v>3</v>
      </c>
      <c r="B8" s="19">
        <v>46126</v>
      </c>
      <c r="C8" s="2" t="s">
        <v>8</v>
      </c>
      <c r="D8" s="122"/>
      <c r="E8" s="2">
        <v>475</v>
      </c>
      <c r="F8" s="118"/>
      <c r="G8" s="3">
        <f t="shared" si="0"/>
        <v>911.11111111111109</v>
      </c>
      <c r="H8" s="3">
        <f t="shared" si="1"/>
        <v>1000</v>
      </c>
      <c r="I8" s="3">
        <f t="shared" si="2"/>
        <v>3240</v>
      </c>
      <c r="J8" s="118"/>
      <c r="K8" s="118"/>
      <c r="L8" s="118"/>
      <c r="M8" s="118"/>
      <c r="N8" s="1">
        <v>4000</v>
      </c>
      <c r="O8" s="118"/>
      <c r="P8" s="118"/>
      <c r="Q8" s="118"/>
      <c r="R8" s="118"/>
      <c r="S8" s="118"/>
    </row>
    <row r="9" spans="1:19" x14ac:dyDescent="0.3">
      <c r="A9">
        <v>4</v>
      </c>
      <c r="B9" s="19">
        <v>46130</v>
      </c>
      <c r="C9" s="2" t="s">
        <v>9</v>
      </c>
      <c r="D9" s="122">
        <v>132</v>
      </c>
      <c r="E9" s="2">
        <v>475</v>
      </c>
      <c r="F9" s="118">
        <f>+D9*E9</f>
        <v>62700</v>
      </c>
      <c r="G9" s="3">
        <f t="shared" si="0"/>
        <v>911.11111111111109</v>
      </c>
      <c r="H9" s="3">
        <f t="shared" si="1"/>
        <v>1000</v>
      </c>
      <c r="I9" s="3">
        <f t="shared" si="2"/>
        <v>3240</v>
      </c>
      <c r="J9" s="120">
        <f>+F9+SUM(G9:I9)+SUM(G10:I10)</f>
        <v>73002.222222222219</v>
      </c>
      <c r="K9" s="118">
        <f>+J9/D9</f>
        <v>553.04713804713799</v>
      </c>
      <c r="L9" s="118">
        <v>600</v>
      </c>
      <c r="M9" s="118">
        <f>+D9*L9</f>
        <v>79200</v>
      </c>
      <c r="N9" s="1">
        <v>3000</v>
      </c>
      <c r="O9" s="118">
        <f>+M9+N9+N10</f>
        <v>85200</v>
      </c>
      <c r="P9" s="118">
        <f>+O9-J9</f>
        <v>12197.777777777781</v>
      </c>
      <c r="Q9" s="118">
        <f>+O9/D9</f>
        <v>645.4545454545455</v>
      </c>
      <c r="R9" s="118">
        <f>+Q9-K9</f>
        <v>92.407407407407504</v>
      </c>
      <c r="S9" s="118">
        <f>+R9*D9</f>
        <v>12197.77777777779</v>
      </c>
    </row>
    <row r="10" spans="1:19" x14ac:dyDescent="0.3">
      <c r="A10">
        <v>5</v>
      </c>
      <c r="B10" s="19">
        <v>46130</v>
      </c>
      <c r="C10" s="2" t="s">
        <v>9</v>
      </c>
      <c r="D10" s="122"/>
      <c r="E10" s="2">
        <v>475</v>
      </c>
      <c r="F10" s="118"/>
      <c r="G10" s="3">
        <f t="shared" si="0"/>
        <v>911.11111111111109</v>
      </c>
      <c r="H10" s="3">
        <f t="shared" si="1"/>
        <v>1000</v>
      </c>
      <c r="I10" s="3">
        <f t="shared" si="2"/>
        <v>3240</v>
      </c>
      <c r="J10" s="120"/>
      <c r="K10" s="118"/>
      <c r="L10" s="118"/>
      <c r="M10" s="118"/>
      <c r="N10" s="1">
        <v>3000</v>
      </c>
      <c r="O10" s="118"/>
      <c r="P10" s="118"/>
      <c r="Q10" s="118"/>
      <c r="R10" s="118"/>
      <c r="S10" s="118"/>
    </row>
    <row r="11" spans="1:19" x14ac:dyDescent="0.3">
      <c r="A11">
        <v>6</v>
      </c>
      <c r="B11" s="19">
        <v>46130</v>
      </c>
      <c r="C11" s="2" t="s">
        <v>10</v>
      </c>
      <c r="D11" s="122">
        <v>358</v>
      </c>
      <c r="E11" s="2">
        <v>475</v>
      </c>
      <c r="F11" s="118">
        <f>+D11*E11</f>
        <v>170050</v>
      </c>
      <c r="G11" s="3">
        <f t="shared" si="0"/>
        <v>911.11111111111109</v>
      </c>
      <c r="H11" s="3">
        <f t="shared" si="1"/>
        <v>1000</v>
      </c>
      <c r="I11" s="3">
        <f t="shared" si="2"/>
        <v>3240</v>
      </c>
      <c r="J11" s="118">
        <f>+F11+SUM(G11:G15)+SUM(H11:H15)+SUM(I11:I15)</f>
        <v>195805.55555555556</v>
      </c>
      <c r="K11" s="118">
        <f>+J11/D11</f>
        <v>546.94289261328368</v>
      </c>
      <c r="L11" s="118">
        <v>600</v>
      </c>
      <c r="M11" s="118">
        <f>+D11*L11</f>
        <v>214800</v>
      </c>
      <c r="N11" s="1">
        <v>3000</v>
      </c>
      <c r="O11" s="118">
        <f>+M11+SUM(N11:N15)</f>
        <v>229800</v>
      </c>
      <c r="P11" s="118">
        <f>+O11-J11</f>
        <v>33994.444444444438</v>
      </c>
      <c r="Q11" s="118">
        <f>+O11/D11</f>
        <v>641.89944134078212</v>
      </c>
      <c r="R11" s="118">
        <f>+Q11-K11</f>
        <v>94.956548727498443</v>
      </c>
      <c r="S11" s="118">
        <f>+R11*D11</f>
        <v>33994.444444444445</v>
      </c>
    </row>
    <row r="12" spans="1:19" x14ac:dyDescent="0.3">
      <c r="A12">
        <v>7</v>
      </c>
      <c r="B12" s="19">
        <v>46130</v>
      </c>
      <c r="C12" s="2" t="s">
        <v>10</v>
      </c>
      <c r="D12" s="122"/>
      <c r="E12" s="2">
        <v>475</v>
      </c>
      <c r="F12" s="118"/>
      <c r="G12" s="3">
        <f t="shared" si="0"/>
        <v>911.11111111111109</v>
      </c>
      <c r="H12" s="3">
        <f t="shared" si="1"/>
        <v>1000</v>
      </c>
      <c r="I12" s="3">
        <f t="shared" si="2"/>
        <v>3240</v>
      </c>
      <c r="J12" s="118"/>
      <c r="K12" s="118"/>
      <c r="L12" s="118"/>
      <c r="M12" s="118"/>
      <c r="N12" s="1">
        <v>3000</v>
      </c>
      <c r="O12" s="118"/>
      <c r="P12" s="118"/>
      <c r="Q12" s="118"/>
      <c r="R12" s="118"/>
      <c r="S12" s="118"/>
    </row>
    <row r="13" spans="1:19" x14ac:dyDescent="0.3">
      <c r="A13">
        <v>8</v>
      </c>
      <c r="B13" s="19">
        <v>46130</v>
      </c>
      <c r="C13" s="2" t="s">
        <v>10</v>
      </c>
      <c r="D13" s="122"/>
      <c r="E13" s="2">
        <v>475</v>
      </c>
      <c r="F13" s="118"/>
      <c r="G13" s="3">
        <f t="shared" si="0"/>
        <v>911.11111111111109</v>
      </c>
      <c r="H13" s="3">
        <f t="shared" si="1"/>
        <v>1000</v>
      </c>
      <c r="I13" s="3">
        <f t="shared" si="2"/>
        <v>3240</v>
      </c>
      <c r="J13" s="118"/>
      <c r="K13" s="118"/>
      <c r="L13" s="118"/>
      <c r="M13" s="118"/>
      <c r="N13" s="1">
        <v>3000</v>
      </c>
      <c r="O13" s="118"/>
      <c r="P13" s="118"/>
      <c r="Q13" s="118"/>
      <c r="R13" s="118"/>
      <c r="S13" s="118"/>
    </row>
    <row r="14" spans="1:19" x14ac:dyDescent="0.3">
      <c r="A14">
        <v>9</v>
      </c>
      <c r="B14" s="19">
        <v>46130</v>
      </c>
      <c r="C14" s="2" t="s">
        <v>10</v>
      </c>
      <c r="D14" s="122"/>
      <c r="E14" s="2">
        <v>475</v>
      </c>
      <c r="F14" s="118"/>
      <c r="G14" s="3">
        <f t="shared" si="0"/>
        <v>911.11111111111109</v>
      </c>
      <c r="H14" s="3">
        <f t="shared" si="1"/>
        <v>1000</v>
      </c>
      <c r="I14" s="3">
        <f t="shared" si="2"/>
        <v>3240</v>
      </c>
      <c r="J14" s="118"/>
      <c r="K14" s="118"/>
      <c r="L14" s="118"/>
      <c r="M14" s="118"/>
      <c r="N14" s="1">
        <v>3000</v>
      </c>
      <c r="O14" s="118"/>
      <c r="P14" s="118"/>
      <c r="Q14" s="118"/>
      <c r="R14" s="118"/>
      <c r="S14" s="118"/>
    </row>
    <row r="15" spans="1:19" x14ac:dyDescent="0.3">
      <c r="A15">
        <v>10</v>
      </c>
      <c r="B15" s="19">
        <v>46130</v>
      </c>
      <c r="C15" s="2" t="s">
        <v>10</v>
      </c>
      <c r="D15" s="122"/>
      <c r="E15" s="2">
        <v>475</v>
      </c>
      <c r="F15" s="118"/>
      <c r="G15" s="3">
        <f t="shared" si="0"/>
        <v>911.11111111111109</v>
      </c>
      <c r="H15" s="3">
        <f t="shared" si="1"/>
        <v>1000</v>
      </c>
      <c r="I15" s="3">
        <f t="shared" si="2"/>
        <v>3240</v>
      </c>
      <c r="J15" s="118"/>
      <c r="K15" s="118"/>
      <c r="L15" s="118"/>
      <c r="M15" s="118"/>
      <c r="N15" s="1">
        <v>3000</v>
      </c>
      <c r="O15" s="118"/>
      <c r="P15" s="118"/>
      <c r="Q15" s="118"/>
      <c r="R15" s="118"/>
      <c r="S15" s="118"/>
    </row>
    <row r="16" spans="1:19" x14ac:dyDescent="0.3">
      <c r="A16">
        <v>11</v>
      </c>
      <c r="B16" s="19">
        <v>46130</v>
      </c>
      <c r="C16" s="2" t="s">
        <v>11</v>
      </c>
      <c r="D16" s="122">
        <v>144</v>
      </c>
      <c r="E16" s="2">
        <v>475</v>
      </c>
      <c r="F16" s="118">
        <f>+D16*E16</f>
        <v>68400</v>
      </c>
      <c r="G16" s="3">
        <f t="shared" si="0"/>
        <v>911.11111111111109</v>
      </c>
      <c r="H16" s="3">
        <f t="shared" si="1"/>
        <v>1000</v>
      </c>
      <c r="I16" s="3">
        <f t="shared" si="2"/>
        <v>3240</v>
      </c>
      <c r="J16" s="118">
        <f>+F16+SUM(G16:I16)+SUM(G17:I17)</f>
        <v>78702.222222222219</v>
      </c>
      <c r="K16" s="120">
        <f>+J16/D16</f>
        <v>546.54320987654319</v>
      </c>
      <c r="L16" s="118">
        <v>600</v>
      </c>
      <c r="M16" s="118">
        <f>+D16*L16</f>
        <v>86400</v>
      </c>
      <c r="N16" s="1">
        <v>3300</v>
      </c>
      <c r="O16" s="118">
        <f>+M16+N16+N17</f>
        <v>93000</v>
      </c>
      <c r="P16" s="118">
        <f>+O16-J16</f>
        <v>14297.777777777781</v>
      </c>
      <c r="Q16" s="118">
        <f>+O16/D16</f>
        <v>645.83333333333337</v>
      </c>
      <c r="R16" s="118">
        <f>+Q16-K16</f>
        <v>99.290123456790184</v>
      </c>
      <c r="S16" s="118">
        <f>+R16*D16</f>
        <v>14297.777777777786</v>
      </c>
    </row>
    <row r="17" spans="1:19" x14ac:dyDescent="0.3">
      <c r="A17">
        <v>12</v>
      </c>
      <c r="B17" s="19">
        <v>46130</v>
      </c>
      <c r="C17" s="2" t="s">
        <v>11</v>
      </c>
      <c r="D17" s="122"/>
      <c r="E17" s="2">
        <v>475</v>
      </c>
      <c r="F17" s="118"/>
      <c r="G17" s="3">
        <f t="shared" si="0"/>
        <v>911.11111111111109</v>
      </c>
      <c r="H17" s="3">
        <f t="shared" si="1"/>
        <v>1000</v>
      </c>
      <c r="I17" s="3">
        <f t="shared" si="2"/>
        <v>3240</v>
      </c>
      <c r="J17" s="118"/>
      <c r="K17" s="120"/>
      <c r="L17" s="118"/>
      <c r="M17" s="118"/>
      <c r="N17" s="1">
        <v>3300</v>
      </c>
      <c r="O17" s="118"/>
      <c r="P17" s="118"/>
      <c r="Q17" s="118"/>
      <c r="R17" s="118"/>
      <c r="S17" s="118"/>
    </row>
    <row r="18" spans="1:19" x14ac:dyDescent="0.3">
      <c r="A18">
        <v>13</v>
      </c>
      <c r="B18" s="19">
        <v>46130</v>
      </c>
      <c r="C18" s="2" t="s">
        <v>12</v>
      </c>
      <c r="D18" s="122">
        <v>128</v>
      </c>
      <c r="E18" s="2">
        <v>475</v>
      </c>
      <c r="F18" s="118">
        <f>+D18*E18</f>
        <v>60800</v>
      </c>
      <c r="G18" s="3">
        <f t="shared" si="0"/>
        <v>911.11111111111109</v>
      </c>
      <c r="H18" s="3">
        <f t="shared" si="1"/>
        <v>1000</v>
      </c>
      <c r="I18" s="3">
        <f t="shared" si="2"/>
        <v>3240</v>
      </c>
      <c r="J18" s="118">
        <f>+F18+SUM(G18:I18)+SUM(G19:I19)</f>
        <v>71102.222222222219</v>
      </c>
      <c r="K18" s="118">
        <f>+J18/D18</f>
        <v>555.48611111111109</v>
      </c>
      <c r="L18" s="118">
        <v>600</v>
      </c>
      <c r="M18" s="118">
        <f>+D18*L18</f>
        <v>76800</v>
      </c>
      <c r="N18" s="1">
        <v>3300</v>
      </c>
      <c r="O18" s="118">
        <f>+M18+N18+N19</f>
        <v>83400</v>
      </c>
      <c r="P18" s="118">
        <f>+O18-J18</f>
        <v>12297.777777777781</v>
      </c>
      <c r="Q18" s="118">
        <f>+O18/D18</f>
        <v>651.5625</v>
      </c>
      <c r="R18" s="118">
        <f>+Q18-K18</f>
        <v>96.076388888888914</v>
      </c>
      <c r="S18" s="118">
        <f>+R18*D18</f>
        <v>12297.777777777781</v>
      </c>
    </row>
    <row r="19" spans="1:19" x14ac:dyDescent="0.3">
      <c r="A19">
        <v>14</v>
      </c>
      <c r="B19" s="19">
        <v>46130</v>
      </c>
      <c r="C19" s="2" t="s">
        <v>12</v>
      </c>
      <c r="D19" s="122"/>
      <c r="E19" s="2">
        <v>475</v>
      </c>
      <c r="F19" s="118"/>
      <c r="G19" s="3">
        <f t="shared" si="0"/>
        <v>911.11111111111109</v>
      </c>
      <c r="H19" s="3">
        <f t="shared" si="1"/>
        <v>1000</v>
      </c>
      <c r="I19" s="3">
        <f t="shared" si="2"/>
        <v>3240</v>
      </c>
      <c r="J19" s="118"/>
      <c r="K19" s="118"/>
      <c r="L19" s="118"/>
      <c r="M19" s="118"/>
      <c r="N19" s="1">
        <v>3300</v>
      </c>
      <c r="O19" s="118"/>
      <c r="P19" s="118"/>
      <c r="Q19" s="118"/>
      <c r="R19" s="118"/>
      <c r="S19" s="118"/>
    </row>
    <row r="20" spans="1:19" x14ac:dyDescent="0.3">
      <c r="A20">
        <v>15</v>
      </c>
      <c r="B20" s="19">
        <v>46131</v>
      </c>
      <c r="C20" s="2" t="s">
        <v>13</v>
      </c>
      <c r="D20" s="122">
        <v>123</v>
      </c>
      <c r="E20" s="2">
        <v>475</v>
      </c>
      <c r="F20" s="118">
        <f>+D20*E20</f>
        <v>58425</v>
      </c>
      <c r="G20" s="3">
        <f t="shared" si="0"/>
        <v>911.11111111111109</v>
      </c>
      <c r="H20" s="3">
        <f t="shared" si="1"/>
        <v>1000</v>
      </c>
      <c r="I20" s="3">
        <f t="shared" si="2"/>
        <v>3240</v>
      </c>
      <c r="J20" s="118">
        <f>+F20+SUM(G20:I20)+SUM(G21:I21)</f>
        <v>68727.222222222219</v>
      </c>
      <c r="K20" s="118">
        <f>+J20/D20</f>
        <v>558.75790424570914</v>
      </c>
      <c r="L20" s="118">
        <v>626.01700000000005</v>
      </c>
      <c r="M20" s="1">
        <f>+D20*L20</f>
        <v>77000.091</v>
      </c>
      <c r="N20" s="1">
        <v>3500</v>
      </c>
      <c r="O20" s="118">
        <f>+SUM(M20+N20+N21)</f>
        <v>84000.091</v>
      </c>
      <c r="P20" s="118">
        <f>+O20-J20</f>
        <v>15272.868777777781</v>
      </c>
      <c r="Q20" s="118">
        <f>+O20/D20</f>
        <v>682.92756910569108</v>
      </c>
      <c r="R20" s="118">
        <f>+Q20-K20</f>
        <v>124.16966485998194</v>
      </c>
      <c r="S20" s="118">
        <f>+R20*D20</f>
        <v>15272.868777777778</v>
      </c>
    </row>
    <row r="21" spans="1:19" x14ac:dyDescent="0.3">
      <c r="A21">
        <v>16</v>
      </c>
      <c r="B21" s="19">
        <v>46131</v>
      </c>
      <c r="C21" s="2" t="s">
        <v>13</v>
      </c>
      <c r="D21" s="122"/>
      <c r="E21" s="2">
        <v>475</v>
      </c>
      <c r="F21" s="118"/>
      <c r="G21" s="3">
        <f t="shared" si="0"/>
        <v>911.11111111111109</v>
      </c>
      <c r="H21" s="3">
        <f t="shared" si="1"/>
        <v>1000</v>
      </c>
      <c r="I21" s="3">
        <f t="shared" si="2"/>
        <v>3240</v>
      </c>
      <c r="J21" s="118"/>
      <c r="K21" s="118"/>
      <c r="L21" s="118"/>
      <c r="M21" s="1">
        <f>+D21*L21</f>
        <v>0</v>
      </c>
      <c r="N21" s="1">
        <v>3500</v>
      </c>
      <c r="O21" s="118"/>
      <c r="P21" s="118"/>
      <c r="Q21" s="118"/>
      <c r="R21" s="118"/>
      <c r="S21" s="118"/>
    </row>
    <row r="22" spans="1:19" x14ac:dyDescent="0.3">
      <c r="A22">
        <v>17</v>
      </c>
      <c r="B22" s="19">
        <v>46131</v>
      </c>
      <c r="C22" s="2" t="s">
        <v>14</v>
      </c>
      <c r="D22" s="122">
        <v>115</v>
      </c>
      <c r="E22" s="2">
        <v>475</v>
      </c>
      <c r="F22" s="118">
        <f>+D22*E22</f>
        <v>54625</v>
      </c>
      <c r="G22" s="3">
        <f t="shared" si="0"/>
        <v>911.11111111111109</v>
      </c>
      <c r="H22" s="3">
        <f t="shared" si="1"/>
        <v>1000</v>
      </c>
      <c r="I22" s="3">
        <f t="shared" si="2"/>
        <v>3240</v>
      </c>
      <c r="J22" s="118">
        <f>+SUM(F22+SUM(G22:I22)+SUM(G23:I23))</f>
        <v>64927.222222222219</v>
      </c>
      <c r="K22" s="118">
        <f>+J22/D22</f>
        <v>564.58454106280192</v>
      </c>
      <c r="L22" s="118">
        <v>600</v>
      </c>
      <c r="M22" s="118">
        <f>+D22*L22</f>
        <v>69000</v>
      </c>
      <c r="N22" s="1">
        <v>3000</v>
      </c>
      <c r="O22" s="118">
        <f>+M22+N22+N23</f>
        <v>75000</v>
      </c>
      <c r="P22" s="118">
        <f>+O22-J22</f>
        <v>10072.777777777781</v>
      </c>
      <c r="Q22" s="118">
        <f>+O22/D22</f>
        <v>652.17391304347825</v>
      </c>
      <c r="R22" s="118">
        <f>+Q22-K22</f>
        <v>87.589371980676333</v>
      </c>
      <c r="S22" s="118">
        <f>+R22*D22</f>
        <v>10072.777777777777</v>
      </c>
    </row>
    <row r="23" spans="1:19" x14ac:dyDescent="0.3">
      <c r="A23">
        <v>18</v>
      </c>
      <c r="B23" s="19">
        <v>46131</v>
      </c>
      <c r="C23" s="2" t="s">
        <v>14</v>
      </c>
      <c r="D23" s="122"/>
      <c r="E23" s="2">
        <v>475</v>
      </c>
      <c r="F23" s="118"/>
      <c r="G23" s="3">
        <f t="shared" si="0"/>
        <v>911.11111111111109</v>
      </c>
      <c r="H23" s="3">
        <f t="shared" si="1"/>
        <v>1000</v>
      </c>
      <c r="I23" s="3">
        <f t="shared" si="2"/>
        <v>3240</v>
      </c>
      <c r="J23" s="122"/>
      <c r="K23" s="118"/>
      <c r="L23" s="118"/>
      <c r="M23" s="118"/>
      <c r="N23" s="1">
        <v>3000</v>
      </c>
      <c r="O23" s="118"/>
      <c r="P23" s="118"/>
      <c r="Q23" s="118"/>
      <c r="R23" s="118"/>
      <c r="S23" s="118"/>
    </row>
    <row r="24" spans="1:19" x14ac:dyDescent="0.3">
      <c r="A24">
        <v>19</v>
      </c>
      <c r="B24" s="19">
        <v>46131</v>
      </c>
      <c r="C24" s="2" t="s">
        <v>15</v>
      </c>
      <c r="D24" s="122">
        <v>136</v>
      </c>
      <c r="E24" s="2">
        <v>475</v>
      </c>
      <c r="F24" s="118">
        <f>+D24*E24</f>
        <v>64600</v>
      </c>
      <c r="G24" s="3">
        <f t="shared" si="0"/>
        <v>911.11111111111109</v>
      </c>
      <c r="H24" s="3">
        <f t="shared" si="1"/>
        <v>1000</v>
      </c>
      <c r="I24" s="3">
        <f t="shared" si="2"/>
        <v>3240</v>
      </c>
      <c r="J24" s="118">
        <f>+F24+SUM(G24:I24)+SUM(G25:I25)</f>
        <v>74902.222222222219</v>
      </c>
      <c r="K24" s="118">
        <f>+J24/D24</f>
        <v>550.75163398692803</v>
      </c>
      <c r="L24" s="118">
        <v>600</v>
      </c>
      <c r="M24" s="118">
        <f>+D24*L24</f>
        <v>81600</v>
      </c>
      <c r="N24" s="1">
        <v>3400</v>
      </c>
      <c r="O24" s="118">
        <f>+M24+N24+N25</f>
        <v>88400</v>
      </c>
      <c r="P24" s="118">
        <f>+O24-J24</f>
        <v>13497.777777777781</v>
      </c>
      <c r="Q24" s="118">
        <f>+O24/D24</f>
        <v>650</v>
      </c>
      <c r="R24" s="118">
        <f>+Q24-K24</f>
        <v>99.248366013071973</v>
      </c>
      <c r="S24" s="118">
        <f>+R24*D24</f>
        <v>13497.777777777788</v>
      </c>
    </row>
    <row r="25" spans="1:19" x14ac:dyDescent="0.3">
      <c r="A25">
        <v>20</v>
      </c>
      <c r="B25" s="19">
        <v>46131</v>
      </c>
      <c r="C25" s="2" t="s">
        <v>15</v>
      </c>
      <c r="D25" s="122"/>
      <c r="E25" s="2">
        <v>475</v>
      </c>
      <c r="F25" s="118"/>
      <c r="G25" s="3">
        <f t="shared" si="0"/>
        <v>911.11111111111109</v>
      </c>
      <c r="H25" s="3">
        <f t="shared" si="1"/>
        <v>1000</v>
      </c>
      <c r="I25" s="3">
        <f t="shared" si="2"/>
        <v>3240</v>
      </c>
      <c r="J25" s="122"/>
      <c r="K25" s="118"/>
      <c r="L25" s="118"/>
      <c r="M25" s="118"/>
      <c r="N25" s="1">
        <v>3400</v>
      </c>
      <c r="O25" s="118"/>
      <c r="P25" s="118"/>
      <c r="Q25" s="118"/>
      <c r="R25" s="118"/>
      <c r="S25" s="118"/>
    </row>
    <row r="26" spans="1:19" x14ac:dyDescent="0.3">
      <c r="A26">
        <v>21</v>
      </c>
      <c r="B26" s="19">
        <v>46131</v>
      </c>
      <c r="C26" s="2" t="s">
        <v>15</v>
      </c>
      <c r="D26" s="14">
        <v>63</v>
      </c>
      <c r="E26" s="2">
        <v>475</v>
      </c>
      <c r="F26" s="15">
        <f>+D26*E26</f>
        <v>29925</v>
      </c>
      <c r="G26" s="3">
        <f t="shared" si="0"/>
        <v>911.11111111111109</v>
      </c>
      <c r="H26" s="3">
        <f t="shared" si="1"/>
        <v>1000</v>
      </c>
      <c r="I26" s="3">
        <f t="shared" si="2"/>
        <v>3240</v>
      </c>
      <c r="J26" s="18">
        <f>+SUM(F26:I26)</f>
        <v>35076.111111111109</v>
      </c>
      <c r="K26" s="15">
        <f>+J26/D26</f>
        <v>556.76366843033509</v>
      </c>
      <c r="L26" s="15">
        <v>700</v>
      </c>
      <c r="M26" s="15">
        <f>+L26*D26</f>
        <v>44100</v>
      </c>
      <c r="N26" s="1">
        <v>3400</v>
      </c>
      <c r="O26" s="15">
        <f>+M26+N26</f>
        <v>47500</v>
      </c>
      <c r="P26" s="15">
        <f>+O26-J26</f>
        <v>12423.888888888891</v>
      </c>
      <c r="Q26" s="15">
        <f>+O26/D26</f>
        <v>753.96825396825398</v>
      </c>
      <c r="R26" s="15">
        <f>+Q26-K26</f>
        <v>197.20458553791889</v>
      </c>
      <c r="S26" s="15">
        <f>+R26*D26</f>
        <v>12423.888888888891</v>
      </c>
    </row>
    <row r="27" spans="1:19" x14ac:dyDescent="0.3">
      <c r="A27">
        <v>22</v>
      </c>
      <c r="B27" s="19">
        <v>46131</v>
      </c>
      <c r="C27" s="2" t="s">
        <v>16</v>
      </c>
      <c r="D27" s="122">
        <v>374</v>
      </c>
      <c r="E27" s="2">
        <v>475</v>
      </c>
      <c r="F27" s="118">
        <f>+D27*E27</f>
        <v>177650</v>
      </c>
      <c r="G27" s="3">
        <f t="shared" si="0"/>
        <v>911.11111111111109</v>
      </c>
      <c r="H27" s="3">
        <f t="shared" si="1"/>
        <v>1000</v>
      </c>
      <c r="I27" s="3">
        <f t="shared" si="2"/>
        <v>3240</v>
      </c>
      <c r="J27" s="118">
        <f>+SUM(F27+SUM(G27:G32)+SUM(H27:H32)+SUM(I27:I32))</f>
        <v>208556.66666666666</v>
      </c>
      <c r="K27" s="118">
        <f>+J27/D27</f>
        <v>557.63814616755792</v>
      </c>
      <c r="L27" s="118">
        <v>600</v>
      </c>
      <c r="M27" s="118">
        <f>+D27*L27</f>
        <v>224400</v>
      </c>
      <c r="N27" s="1">
        <v>3000</v>
      </c>
      <c r="O27" s="118">
        <f>+M27+SUM(N27:N32)</f>
        <v>242400</v>
      </c>
      <c r="P27" s="118">
        <f>+O27-J27</f>
        <v>33843.333333333343</v>
      </c>
      <c r="Q27" s="118">
        <f>+O27/D27</f>
        <v>648.1283422459893</v>
      </c>
      <c r="R27" s="118">
        <f>+Q27-K27</f>
        <v>90.490196078431381</v>
      </c>
      <c r="S27" s="118">
        <f>+R27*D27</f>
        <v>33843.333333333336</v>
      </c>
    </row>
    <row r="28" spans="1:19" x14ac:dyDescent="0.3">
      <c r="A28">
        <v>23</v>
      </c>
      <c r="B28" s="19">
        <v>46131</v>
      </c>
      <c r="C28" s="2" t="s">
        <v>16</v>
      </c>
      <c r="D28" s="122"/>
      <c r="E28" s="2">
        <v>475</v>
      </c>
      <c r="F28" s="118"/>
      <c r="G28" s="3">
        <f t="shared" si="0"/>
        <v>911.11111111111109</v>
      </c>
      <c r="H28" s="3">
        <f t="shared" si="1"/>
        <v>1000</v>
      </c>
      <c r="I28" s="3">
        <f t="shared" si="2"/>
        <v>3240</v>
      </c>
      <c r="J28" s="122"/>
      <c r="K28" s="118"/>
      <c r="L28" s="118"/>
      <c r="M28" s="118"/>
      <c r="N28" s="1">
        <v>3000</v>
      </c>
      <c r="O28" s="118"/>
      <c r="P28" s="118"/>
      <c r="Q28" s="118"/>
      <c r="R28" s="118"/>
      <c r="S28" s="118"/>
    </row>
    <row r="29" spans="1:19" x14ac:dyDescent="0.3">
      <c r="A29">
        <v>24</v>
      </c>
      <c r="B29" s="19">
        <v>46131</v>
      </c>
      <c r="C29" s="2" t="s">
        <v>16</v>
      </c>
      <c r="D29" s="122"/>
      <c r="E29" s="2">
        <v>475</v>
      </c>
      <c r="F29" s="118"/>
      <c r="G29" s="3">
        <f t="shared" si="0"/>
        <v>911.11111111111109</v>
      </c>
      <c r="H29" s="3">
        <f t="shared" si="1"/>
        <v>1000</v>
      </c>
      <c r="I29" s="3">
        <f t="shared" si="2"/>
        <v>3240</v>
      </c>
      <c r="J29" s="122"/>
      <c r="K29" s="118"/>
      <c r="L29" s="118"/>
      <c r="M29" s="118"/>
      <c r="N29" s="1">
        <v>3000</v>
      </c>
      <c r="O29" s="118"/>
      <c r="P29" s="118"/>
      <c r="Q29" s="118"/>
      <c r="R29" s="118"/>
      <c r="S29" s="118"/>
    </row>
    <row r="30" spans="1:19" x14ac:dyDescent="0.3">
      <c r="A30">
        <v>25</v>
      </c>
      <c r="B30" s="19">
        <v>46131</v>
      </c>
      <c r="C30" s="2" t="s">
        <v>16</v>
      </c>
      <c r="D30" s="122"/>
      <c r="E30" s="2">
        <v>475</v>
      </c>
      <c r="F30" s="118"/>
      <c r="G30" s="3">
        <f t="shared" si="0"/>
        <v>911.11111111111109</v>
      </c>
      <c r="H30" s="3">
        <f t="shared" si="1"/>
        <v>1000</v>
      </c>
      <c r="I30" s="3">
        <f t="shared" si="2"/>
        <v>3240</v>
      </c>
      <c r="J30" s="122"/>
      <c r="K30" s="118"/>
      <c r="L30" s="118"/>
      <c r="M30" s="118"/>
      <c r="N30" s="1">
        <v>3000</v>
      </c>
      <c r="O30" s="118"/>
      <c r="P30" s="118"/>
      <c r="Q30" s="118"/>
      <c r="R30" s="118"/>
      <c r="S30" s="118"/>
    </row>
    <row r="31" spans="1:19" x14ac:dyDescent="0.3">
      <c r="A31">
        <v>26</v>
      </c>
      <c r="B31" s="19">
        <v>46131</v>
      </c>
      <c r="C31" s="2" t="s">
        <v>16</v>
      </c>
      <c r="D31" s="122"/>
      <c r="E31" s="2">
        <v>475</v>
      </c>
      <c r="F31" s="118"/>
      <c r="G31" s="3">
        <f t="shared" si="0"/>
        <v>911.11111111111109</v>
      </c>
      <c r="H31" s="3">
        <f t="shared" si="1"/>
        <v>1000</v>
      </c>
      <c r="I31" s="3">
        <f t="shared" si="2"/>
        <v>3240</v>
      </c>
      <c r="J31" s="122"/>
      <c r="K31" s="118"/>
      <c r="L31" s="118"/>
      <c r="M31" s="118"/>
      <c r="N31" s="1">
        <v>3000</v>
      </c>
      <c r="O31" s="118"/>
      <c r="P31" s="118"/>
      <c r="Q31" s="118"/>
      <c r="R31" s="118"/>
      <c r="S31" s="118"/>
    </row>
    <row r="32" spans="1:19" x14ac:dyDescent="0.3">
      <c r="A32">
        <v>27</v>
      </c>
      <c r="B32" s="19">
        <v>46131</v>
      </c>
      <c r="C32" s="2" t="s">
        <v>16</v>
      </c>
      <c r="D32" s="122"/>
      <c r="E32" s="2">
        <v>475</v>
      </c>
      <c r="F32" s="118"/>
      <c r="G32" s="3">
        <f t="shared" si="0"/>
        <v>911.11111111111109</v>
      </c>
      <c r="H32" s="3">
        <f t="shared" si="1"/>
        <v>1000</v>
      </c>
      <c r="I32" s="3">
        <f t="shared" si="2"/>
        <v>3240</v>
      </c>
      <c r="J32" s="122"/>
      <c r="K32" s="118"/>
      <c r="L32" s="118"/>
      <c r="M32" s="118"/>
      <c r="N32" s="1">
        <v>3000</v>
      </c>
      <c r="O32" s="118"/>
      <c r="P32" s="118"/>
      <c r="Q32" s="118"/>
      <c r="R32" s="118"/>
      <c r="S32" s="118"/>
    </row>
    <row r="33" spans="1:19" x14ac:dyDescent="0.3">
      <c r="A33">
        <v>28</v>
      </c>
      <c r="B33" s="19">
        <v>46131</v>
      </c>
      <c r="C33" s="2" t="s">
        <v>17</v>
      </c>
      <c r="D33" s="2">
        <v>88</v>
      </c>
      <c r="E33" s="2">
        <v>475</v>
      </c>
      <c r="F33" s="3">
        <f>+D33*E33</f>
        <v>41800</v>
      </c>
      <c r="G33" s="3">
        <f t="shared" si="0"/>
        <v>911.11111111111109</v>
      </c>
      <c r="H33" s="3">
        <f t="shared" si="1"/>
        <v>1000</v>
      </c>
      <c r="I33" s="3">
        <f t="shared" si="2"/>
        <v>3240</v>
      </c>
      <c r="J33" s="3">
        <f>+SUM(F33:I33)</f>
        <v>46951.111111111109</v>
      </c>
      <c r="K33" s="3">
        <f>+J33/D33</f>
        <v>533.53535353535347</v>
      </c>
      <c r="L33" s="15">
        <v>625</v>
      </c>
      <c r="M33" s="1">
        <f>+L33*D33</f>
        <v>55000</v>
      </c>
      <c r="N33" s="1">
        <v>3500</v>
      </c>
      <c r="O33" s="1">
        <f>+M33+N33</f>
        <v>58500</v>
      </c>
      <c r="P33" s="15">
        <f>+O33-J33</f>
        <v>11548.888888888891</v>
      </c>
      <c r="Q33" s="15">
        <f>+O33/D33</f>
        <v>664.77272727272725</v>
      </c>
      <c r="R33" s="15">
        <f>+Q33-K33</f>
        <v>131.23737373737379</v>
      </c>
      <c r="S33" s="15">
        <f>+R33*D33</f>
        <v>11548.888888888894</v>
      </c>
    </row>
    <row r="34" spans="1:19" x14ac:dyDescent="0.3">
      <c r="A34">
        <v>29</v>
      </c>
      <c r="B34" s="19">
        <v>46131</v>
      </c>
      <c r="C34" s="2" t="s">
        <v>18</v>
      </c>
      <c r="D34" s="122">
        <v>236</v>
      </c>
      <c r="E34" s="2">
        <v>475</v>
      </c>
      <c r="F34" s="118">
        <f>+D34*E34</f>
        <v>112100</v>
      </c>
      <c r="G34" s="3">
        <f t="shared" si="0"/>
        <v>911.11111111111109</v>
      </c>
      <c r="H34" s="3">
        <f t="shared" si="1"/>
        <v>1000</v>
      </c>
      <c r="I34" s="3">
        <f t="shared" si="2"/>
        <v>3240</v>
      </c>
      <c r="J34" s="118">
        <f>+F34+SUM(G34:G37)+SUM(H34:H37)+SUM(I34:I37)</f>
        <v>132704.44444444444</v>
      </c>
      <c r="K34" s="118">
        <f>+J34/D34</f>
        <v>562.30696798493409</v>
      </c>
      <c r="L34" s="118">
        <v>600</v>
      </c>
      <c r="M34" s="118">
        <f>+D34*L34</f>
        <v>141600</v>
      </c>
      <c r="N34" s="1">
        <v>3500</v>
      </c>
      <c r="O34" s="118">
        <f>+M34+SUM(N34:N37)</f>
        <v>155600</v>
      </c>
      <c r="P34" s="118">
        <f>+O34-J34</f>
        <v>22895.555555555562</v>
      </c>
      <c r="Q34" s="118">
        <f>+O34/D34</f>
        <v>659.32203389830511</v>
      </c>
      <c r="R34" s="118">
        <f>+Q34-K34</f>
        <v>97.015065913371018</v>
      </c>
      <c r="S34" s="118">
        <f>+R34*D34</f>
        <v>22895.555555555562</v>
      </c>
    </row>
    <row r="35" spans="1:19" x14ac:dyDescent="0.3">
      <c r="A35">
        <v>30</v>
      </c>
      <c r="B35" s="19">
        <v>46131</v>
      </c>
      <c r="C35" s="2" t="s">
        <v>18</v>
      </c>
      <c r="D35" s="122"/>
      <c r="E35" s="2">
        <v>475</v>
      </c>
      <c r="F35" s="118"/>
      <c r="G35" s="3">
        <f t="shared" si="0"/>
        <v>911.11111111111109</v>
      </c>
      <c r="H35" s="3">
        <f t="shared" si="1"/>
        <v>1000</v>
      </c>
      <c r="I35" s="3">
        <f t="shared" si="2"/>
        <v>3240</v>
      </c>
      <c r="J35" s="122"/>
      <c r="K35" s="118"/>
      <c r="L35" s="118"/>
      <c r="M35" s="118"/>
      <c r="N35" s="1">
        <v>3500</v>
      </c>
      <c r="O35" s="118"/>
      <c r="P35" s="118"/>
      <c r="Q35" s="118"/>
      <c r="R35" s="118"/>
      <c r="S35" s="118"/>
    </row>
    <row r="36" spans="1:19" x14ac:dyDescent="0.3">
      <c r="A36">
        <v>31</v>
      </c>
      <c r="B36" s="19">
        <v>46131</v>
      </c>
      <c r="C36" s="2" t="s">
        <v>18</v>
      </c>
      <c r="D36" s="122"/>
      <c r="E36" s="2">
        <v>475</v>
      </c>
      <c r="F36" s="118"/>
      <c r="G36" s="3">
        <f t="shared" si="0"/>
        <v>911.11111111111109</v>
      </c>
      <c r="H36" s="3">
        <f t="shared" si="1"/>
        <v>1000</v>
      </c>
      <c r="I36" s="3">
        <f t="shared" si="2"/>
        <v>3240</v>
      </c>
      <c r="J36" s="122"/>
      <c r="K36" s="118"/>
      <c r="L36" s="118"/>
      <c r="M36" s="118"/>
      <c r="N36" s="1">
        <v>3500</v>
      </c>
      <c r="O36" s="118"/>
      <c r="P36" s="118"/>
      <c r="Q36" s="118"/>
      <c r="R36" s="118"/>
      <c r="S36" s="118"/>
    </row>
    <row r="37" spans="1:19" x14ac:dyDescent="0.3">
      <c r="A37">
        <v>32</v>
      </c>
      <c r="B37" s="19">
        <v>46131</v>
      </c>
      <c r="C37" s="2" t="s">
        <v>18</v>
      </c>
      <c r="D37" s="122"/>
      <c r="E37" s="2">
        <v>475</v>
      </c>
      <c r="F37" s="118"/>
      <c r="G37" s="3">
        <f t="shared" si="0"/>
        <v>911.11111111111109</v>
      </c>
      <c r="H37" s="3">
        <f t="shared" si="1"/>
        <v>1000</v>
      </c>
      <c r="I37" s="3">
        <f t="shared" si="2"/>
        <v>3240</v>
      </c>
      <c r="J37" s="122"/>
      <c r="K37" s="118"/>
      <c r="L37" s="118"/>
      <c r="M37" s="118"/>
      <c r="N37" s="1">
        <v>3500</v>
      </c>
      <c r="O37" s="118"/>
      <c r="P37" s="118"/>
      <c r="Q37" s="118"/>
      <c r="R37" s="118"/>
      <c r="S37" s="118"/>
    </row>
    <row r="38" spans="1:19" x14ac:dyDescent="0.3">
      <c r="A38">
        <v>33</v>
      </c>
      <c r="B38" s="19">
        <v>46131</v>
      </c>
      <c r="C38" s="2" t="s">
        <v>19</v>
      </c>
      <c r="D38" s="122">
        <v>118</v>
      </c>
      <c r="E38" s="2">
        <v>475</v>
      </c>
      <c r="F38" s="118">
        <f>+D38*E38</f>
        <v>56050</v>
      </c>
      <c r="G38" s="3">
        <f t="shared" si="0"/>
        <v>911.11111111111109</v>
      </c>
      <c r="H38" s="3">
        <f t="shared" si="1"/>
        <v>1000</v>
      </c>
      <c r="I38" s="3">
        <f t="shared" si="2"/>
        <v>3240</v>
      </c>
      <c r="J38" s="118">
        <f>+F38+SUM(G38:I38)+SUM(G39:I39)</f>
        <v>66352.222222222219</v>
      </c>
      <c r="K38" s="118">
        <f>+J38/D38</f>
        <v>562.30696798493409</v>
      </c>
      <c r="L38" s="118">
        <v>610</v>
      </c>
      <c r="M38" s="118">
        <f>+D38*L38</f>
        <v>71980</v>
      </c>
      <c r="N38" s="1">
        <v>3000</v>
      </c>
      <c r="O38" s="118">
        <f>+M38+N38+N39</f>
        <v>77980</v>
      </c>
      <c r="P38" s="118">
        <f>+O38-J38</f>
        <v>11627.777777777781</v>
      </c>
      <c r="Q38" s="118">
        <f>+O38/D38</f>
        <v>660.84745762711862</v>
      </c>
      <c r="R38" s="118">
        <f>+Q38-K38</f>
        <v>98.540489642184525</v>
      </c>
      <c r="S38" s="118">
        <f>+R38*D38</f>
        <v>11627.777777777774</v>
      </c>
    </row>
    <row r="39" spans="1:19" x14ac:dyDescent="0.3">
      <c r="A39">
        <v>34</v>
      </c>
      <c r="B39" s="19">
        <v>46131</v>
      </c>
      <c r="C39" s="2" t="s">
        <v>19</v>
      </c>
      <c r="D39" s="122"/>
      <c r="E39" s="2">
        <v>475</v>
      </c>
      <c r="F39" s="118"/>
      <c r="G39" s="3">
        <f t="shared" si="0"/>
        <v>911.11111111111109</v>
      </c>
      <c r="H39" s="3">
        <f t="shared" si="1"/>
        <v>1000</v>
      </c>
      <c r="I39" s="3">
        <f t="shared" si="2"/>
        <v>3240</v>
      </c>
      <c r="J39" s="122"/>
      <c r="K39" s="118"/>
      <c r="L39" s="118"/>
      <c r="M39" s="118"/>
      <c r="N39" s="1">
        <v>3000</v>
      </c>
      <c r="O39" s="118"/>
      <c r="P39" s="118"/>
      <c r="Q39" s="118"/>
      <c r="R39" s="118"/>
      <c r="S39" s="118"/>
    </row>
    <row r="40" spans="1:19" x14ac:dyDescent="0.3">
      <c r="A40">
        <v>35</v>
      </c>
      <c r="B40" s="19">
        <v>46131</v>
      </c>
      <c r="C40" s="2" t="s">
        <v>54</v>
      </c>
      <c r="D40" s="122">
        <v>123</v>
      </c>
      <c r="E40" s="2">
        <v>475</v>
      </c>
      <c r="F40" s="118">
        <f>+D40*E40</f>
        <v>58425</v>
      </c>
      <c r="G40" s="3">
        <f t="shared" si="0"/>
        <v>911.11111111111109</v>
      </c>
      <c r="H40" s="3">
        <f t="shared" si="1"/>
        <v>1000</v>
      </c>
      <c r="I40" s="3">
        <f t="shared" si="2"/>
        <v>3240</v>
      </c>
      <c r="J40" s="126">
        <f>+F40+SUM(G40:I41)</f>
        <v>68727.222222222219</v>
      </c>
      <c r="K40" s="118">
        <f>+J40/D40</f>
        <v>558.75790424570914</v>
      </c>
      <c r="L40" s="118">
        <v>626</v>
      </c>
      <c r="M40" s="118">
        <f>+D40*L40</f>
        <v>76998</v>
      </c>
      <c r="N40" s="1">
        <v>3500</v>
      </c>
      <c r="O40" s="118">
        <f>+M40+N40+N41</f>
        <v>83998</v>
      </c>
      <c r="P40" s="118">
        <f>+O40-J40</f>
        <v>15270.777777777781</v>
      </c>
      <c r="Q40" s="118">
        <f>+O40/D40</f>
        <v>682.91056910569102</v>
      </c>
      <c r="R40" s="118">
        <f>+Q40-K40</f>
        <v>124.15266485998188</v>
      </c>
      <c r="S40" s="118">
        <f>+R40*D40</f>
        <v>15270.777777777772</v>
      </c>
    </row>
    <row r="41" spans="1:19" x14ac:dyDescent="0.3">
      <c r="A41">
        <v>36</v>
      </c>
      <c r="B41" s="19">
        <v>46131</v>
      </c>
      <c r="C41" s="2" t="s">
        <v>54</v>
      </c>
      <c r="D41" s="122"/>
      <c r="E41" s="2">
        <v>475</v>
      </c>
      <c r="F41" s="118"/>
      <c r="G41" s="3">
        <f t="shared" si="0"/>
        <v>911.11111111111109</v>
      </c>
      <c r="H41" s="3">
        <f t="shared" si="1"/>
        <v>1000</v>
      </c>
      <c r="I41" s="3">
        <f t="shared" si="2"/>
        <v>3240</v>
      </c>
      <c r="J41" s="126"/>
      <c r="K41" s="118"/>
      <c r="L41" s="118"/>
      <c r="M41" s="118"/>
      <c r="N41" s="1">
        <v>3500</v>
      </c>
      <c r="O41" s="118"/>
      <c r="P41" s="118"/>
      <c r="Q41" s="118"/>
      <c r="R41" s="118"/>
      <c r="S41" s="118"/>
    </row>
    <row r="42" spans="1:19" x14ac:dyDescent="0.3">
      <c r="A42">
        <v>37</v>
      </c>
      <c r="B42" s="19">
        <v>46134</v>
      </c>
      <c r="C42" s="2" t="s">
        <v>55</v>
      </c>
      <c r="D42" s="122">
        <v>226</v>
      </c>
      <c r="E42" s="2">
        <v>475</v>
      </c>
      <c r="F42" s="118">
        <f>+D42*E42</f>
        <v>107350</v>
      </c>
      <c r="G42" s="3">
        <f t="shared" si="0"/>
        <v>911.11111111111109</v>
      </c>
      <c r="H42" s="3">
        <f t="shared" si="1"/>
        <v>1000</v>
      </c>
      <c r="I42" s="3">
        <f t="shared" si="2"/>
        <v>3240</v>
      </c>
      <c r="J42" s="122">
        <f>+SUM(F42+SUM(G42:I44))</f>
        <v>122803.33333333333</v>
      </c>
      <c r="K42" s="118">
        <f>+J42/D42</f>
        <v>543.37758112094389</v>
      </c>
      <c r="L42" s="118">
        <v>600</v>
      </c>
      <c r="M42" s="118">
        <f>+D42*L42</f>
        <v>135600</v>
      </c>
      <c r="N42" s="1">
        <v>3000</v>
      </c>
      <c r="O42" s="118">
        <f>+M42+SUM(N42:N44)</f>
        <v>144600</v>
      </c>
      <c r="P42" s="118">
        <f>+O42-J42</f>
        <v>21796.666666666672</v>
      </c>
      <c r="Q42" s="118">
        <f>+O42/D42</f>
        <v>639.82300884955748</v>
      </c>
      <c r="R42" s="118">
        <f>+Q42-K42</f>
        <v>96.445427728613595</v>
      </c>
      <c r="S42" s="118">
        <f>+R42*D42</f>
        <v>21796.666666666672</v>
      </c>
    </row>
    <row r="43" spans="1:19" x14ac:dyDescent="0.3">
      <c r="A43">
        <v>38</v>
      </c>
      <c r="B43" s="19">
        <v>46134</v>
      </c>
      <c r="C43" s="2" t="s">
        <v>55</v>
      </c>
      <c r="D43" s="122"/>
      <c r="E43" s="2">
        <v>475</v>
      </c>
      <c r="F43" s="118"/>
      <c r="G43" s="3">
        <f t="shared" si="0"/>
        <v>911.11111111111109</v>
      </c>
      <c r="H43" s="3">
        <f t="shared" si="1"/>
        <v>1000</v>
      </c>
      <c r="I43" s="3">
        <f t="shared" si="2"/>
        <v>3240</v>
      </c>
      <c r="J43" s="122"/>
      <c r="K43" s="118"/>
      <c r="L43" s="118"/>
      <c r="M43" s="118"/>
      <c r="N43" s="1">
        <v>3000</v>
      </c>
      <c r="O43" s="118"/>
      <c r="P43" s="118"/>
      <c r="Q43" s="118"/>
      <c r="R43" s="118"/>
      <c r="S43" s="118"/>
    </row>
    <row r="44" spans="1:19" x14ac:dyDescent="0.3">
      <c r="A44">
        <v>39</v>
      </c>
      <c r="B44" s="19">
        <v>46134</v>
      </c>
      <c r="C44" s="2" t="s">
        <v>55</v>
      </c>
      <c r="D44" s="122"/>
      <c r="E44" s="2">
        <v>475</v>
      </c>
      <c r="F44" s="118"/>
      <c r="G44" s="3">
        <f t="shared" si="0"/>
        <v>911.11111111111109</v>
      </c>
      <c r="H44" s="3">
        <f t="shared" si="1"/>
        <v>1000</v>
      </c>
      <c r="I44" s="3">
        <f t="shared" si="2"/>
        <v>3240</v>
      </c>
      <c r="J44" s="122"/>
      <c r="K44" s="118"/>
      <c r="L44" s="118"/>
      <c r="M44" s="118"/>
      <c r="N44" s="1">
        <v>3000</v>
      </c>
      <c r="O44" s="118"/>
      <c r="P44" s="118"/>
      <c r="Q44" s="118"/>
      <c r="R44" s="118"/>
      <c r="S44" s="118"/>
    </row>
    <row r="45" spans="1:19" x14ac:dyDescent="0.3">
      <c r="A45">
        <v>40</v>
      </c>
      <c r="B45" s="19">
        <v>46137</v>
      </c>
      <c r="C45" s="2" t="s">
        <v>56</v>
      </c>
      <c r="D45" s="122">
        <v>377</v>
      </c>
      <c r="E45" s="2">
        <v>475</v>
      </c>
      <c r="F45" s="118">
        <f>+D45*E45</f>
        <v>179075</v>
      </c>
      <c r="G45" s="3">
        <f t="shared" si="0"/>
        <v>911.11111111111109</v>
      </c>
      <c r="H45" s="3">
        <f t="shared" si="1"/>
        <v>1000</v>
      </c>
      <c r="I45" s="3">
        <f t="shared" si="2"/>
        <v>3240</v>
      </c>
      <c r="J45" s="126">
        <f>+F45+SUM(G45:I49)</f>
        <v>204830.55555555556</v>
      </c>
      <c r="K45" s="118">
        <f>+J45/D45</f>
        <v>543.31712348953727</v>
      </c>
      <c r="L45" s="118">
        <v>588.86</v>
      </c>
      <c r="M45" s="118">
        <f>+L45*D45</f>
        <v>222000.22</v>
      </c>
      <c r="N45" s="1">
        <v>2400</v>
      </c>
      <c r="O45" s="118">
        <f>+M45+SUM(N45:N49)</f>
        <v>234000.22</v>
      </c>
      <c r="P45" s="118">
        <f>+O45-J45</f>
        <v>29169.664444444439</v>
      </c>
      <c r="Q45" s="118">
        <f>+O45/D45</f>
        <v>620.69023872679043</v>
      </c>
      <c r="R45" s="118">
        <f>+Q45-K45</f>
        <v>77.37311523725316</v>
      </c>
      <c r="S45" s="118">
        <f>+R45*D45</f>
        <v>29169.664444444443</v>
      </c>
    </row>
    <row r="46" spans="1:19" x14ac:dyDescent="0.3">
      <c r="A46">
        <v>41</v>
      </c>
      <c r="B46" s="19">
        <v>46137</v>
      </c>
      <c r="C46" s="2" t="s">
        <v>56</v>
      </c>
      <c r="D46" s="122"/>
      <c r="E46" s="2">
        <v>475</v>
      </c>
      <c r="F46" s="118"/>
      <c r="G46" s="3">
        <f t="shared" si="0"/>
        <v>911.11111111111109</v>
      </c>
      <c r="H46" s="3">
        <f t="shared" si="1"/>
        <v>1000</v>
      </c>
      <c r="I46" s="3">
        <f t="shared" si="2"/>
        <v>3240</v>
      </c>
      <c r="J46" s="122"/>
      <c r="K46" s="118"/>
      <c r="L46" s="118"/>
      <c r="M46" s="118"/>
      <c r="N46" s="1">
        <v>2400</v>
      </c>
      <c r="O46" s="118"/>
      <c r="P46" s="118"/>
      <c r="Q46" s="118"/>
      <c r="R46" s="118"/>
      <c r="S46" s="118"/>
    </row>
    <row r="47" spans="1:19" x14ac:dyDescent="0.3">
      <c r="A47">
        <v>42</v>
      </c>
      <c r="B47" s="19">
        <v>46137</v>
      </c>
      <c r="C47" s="2" t="s">
        <v>56</v>
      </c>
      <c r="D47" s="122"/>
      <c r="E47" s="2">
        <v>475</v>
      </c>
      <c r="F47" s="118"/>
      <c r="G47" s="3">
        <f t="shared" si="0"/>
        <v>911.11111111111109</v>
      </c>
      <c r="H47" s="3">
        <f t="shared" si="1"/>
        <v>1000</v>
      </c>
      <c r="I47" s="3">
        <f t="shared" si="2"/>
        <v>3240</v>
      </c>
      <c r="J47" s="122"/>
      <c r="K47" s="118"/>
      <c r="L47" s="118"/>
      <c r="M47" s="118"/>
      <c r="N47" s="1">
        <v>2400</v>
      </c>
      <c r="O47" s="118"/>
      <c r="P47" s="118"/>
      <c r="Q47" s="118"/>
      <c r="R47" s="118"/>
      <c r="S47" s="118"/>
    </row>
    <row r="48" spans="1:19" x14ac:dyDescent="0.3">
      <c r="A48">
        <v>43</v>
      </c>
      <c r="B48" s="19">
        <v>46137</v>
      </c>
      <c r="C48" s="2" t="s">
        <v>56</v>
      </c>
      <c r="D48" s="122"/>
      <c r="E48" s="2">
        <v>475</v>
      </c>
      <c r="F48" s="118"/>
      <c r="G48" s="3">
        <f t="shared" si="0"/>
        <v>911.11111111111109</v>
      </c>
      <c r="H48" s="3">
        <f t="shared" si="1"/>
        <v>1000</v>
      </c>
      <c r="I48" s="3">
        <f t="shared" si="2"/>
        <v>3240</v>
      </c>
      <c r="J48" s="122"/>
      <c r="K48" s="118"/>
      <c r="L48" s="118"/>
      <c r="M48" s="118"/>
      <c r="N48" s="1">
        <v>2400</v>
      </c>
      <c r="O48" s="118"/>
      <c r="P48" s="118"/>
      <c r="Q48" s="118"/>
      <c r="R48" s="118"/>
      <c r="S48" s="118"/>
    </row>
    <row r="49" spans="1:19" x14ac:dyDescent="0.3">
      <c r="A49">
        <v>44</v>
      </c>
      <c r="B49" s="19">
        <v>46137</v>
      </c>
      <c r="C49" s="2" t="s">
        <v>56</v>
      </c>
      <c r="D49" s="122"/>
      <c r="E49" s="2">
        <v>475</v>
      </c>
      <c r="F49" s="118"/>
      <c r="G49" s="3">
        <f t="shared" si="0"/>
        <v>911.11111111111109</v>
      </c>
      <c r="H49" s="3">
        <f t="shared" si="1"/>
        <v>1000</v>
      </c>
      <c r="I49" s="3">
        <f t="shared" si="2"/>
        <v>3240</v>
      </c>
      <c r="J49" s="122"/>
      <c r="K49" s="118"/>
      <c r="L49" s="118"/>
      <c r="M49" s="118"/>
      <c r="N49" s="1">
        <v>2400</v>
      </c>
      <c r="O49" s="118"/>
      <c r="P49" s="118"/>
      <c r="Q49" s="118"/>
      <c r="R49" s="118"/>
      <c r="S49" s="118"/>
    </row>
    <row r="50" spans="1:19" x14ac:dyDescent="0.3">
      <c r="A50">
        <v>45</v>
      </c>
      <c r="B50" s="19">
        <v>46138</v>
      </c>
      <c r="C50" s="2" t="s">
        <v>57</v>
      </c>
      <c r="D50" s="14">
        <v>79</v>
      </c>
      <c r="E50" s="2">
        <v>475</v>
      </c>
      <c r="F50" s="15">
        <f>+D50*E50</f>
        <v>37525</v>
      </c>
      <c r="G50" s="3">
        <f t="shared" si="0"/>
        <v>911.11111111111109</v>
      </c>
      <c r="H50" s="3">
        <f t="shared" si="1"/>
        <v>1000</v>
      </c>
      <c r="I50" s="3">
        <f t="shared" si="2"/>
        <v>3240</v>
      </c>
      <c r="J50" s="18">
        <f>++SUM(F50:I50)</f>
        <v>42676.111111111109</v>
      </c>
      <c r="K50" s="15">
        <f>+J50/D50</f>
        <v>540.20393811533052</v>
      </c>
      <c r="L50" s="15">
        <v>595</v>
      </c>
      <c r="M50" s="15">
        <f>+L50*D50</f>
        <v>47005</v>
      </c>
      <c r="N50" s="1">
        <v>2000</v>
      </c>
      <c r="O50" s="15">
        <f>+M50+N50</f>
        <v>49005</v>
      </c>
      <c r="P50" s="15">
        <f>+O50-J50</f>
        <v>6328.8888888888905</v>
      </c>
      <c r="Q50" s="15">
        <f>+O50/D50</f>
        <v>620.31645569620252</v>
      </c>
      <c r="R50" s="15">
        <f>+Q50-K50</f>
        <v>80.112517580872009</v>
      </c>
      <c r="S50" s="15">
        <f>+R50*D50</f>
        <v>6328.8888888888887</v>
      </c>
    </row>
    <row r="51" spans="1:19" x14ac:dyDescent="0.3">
      <c r="A51">
        <v>46</v>
      </c>
      <c r="B51" s="19">
        <v>46138</v>
      </c>
      <c r="C51" s="2" t="s">
        <v>58</v>
      </c>
      <c r="D51" s="122">
        <v>208</v>
      </c>
      <c r="E51" s="2">
        <v>475</v>
      </c>
      <c r="F51" s="118">
        <f>+D51*E51</f>
        <v>98800</v>
      </c>
      <c r="G51" s="3">
        <f t="shared" si="0"/>
        <v>911.11111111111109</v>
      </c>
      <c r="H51" s="3">
        <f t="shared" si="1"/>
        <v>1000</v>
      </c>
      <c r="I51" s="3">
        <f t="shared" si="2"/>
        <v>3240</v>
      </c>
      <c r="J51" s="126">
        <f>+F51+SUM(G51:I53)</f>
        <v>114253.33333333333</v>
      </c>
      <c r="K51" s="118">
        <f>+J51/D51</f>
        <v>549.29487179487182</v>
      </c>
      <c r="L51" s="118">
        <v>580</v>
      </c>
      <c r="M51" s="118">
        <f>+L51*D51</f>
        <v>120640</v>
      </c>
      <c r="N51" s="1">
        <v>2700</v>
      </c>
      <c r="O51" s="118">
        <f>+SUM(M51+N51:N53)</f>
        <v>123340</v>
      </c>
      <c r="P51" s="118">
        <f>+O51-J51</f>
        <v>9086.6666666666715</v>
      </c>
      <c r="Q51" s="118">
        <f>+O51/D51</f>
        <v>592.98076923076928</v>
      </c>
      <c r="R51" s="118">
        <f>+Q51-K51</f>
        <v>43.685897435897459</v>
      </c>
      <c r="S51" s="118">
        <f>+R51*D51</f>
        <v>9086.6666666666715</v>
      </c>
    </row>
    <row r="52" spans="1:19" x14ac:dyDescent="0.3">
      <c r="A52">
        <v>47</v>
      </c>
      <c r="B52" s="19">
        <v>46138</v>
      </c>
      <c r="C52" s="2" t="s">
        <v>58</v>
      </c>
      <c r="D52" s="122"/>
      <c r="E52" s="2">
        <v>475</v>
      </c>
      <c r="F52" s="118"/>
      <c r="G52" s="3">
        <f t="shared" si="0"/>
        <v>911.11111111111109</v>
      </c>
      <c r="H52" s="3">
        <f t="shared" si="1"/>
        <v>1000</v>
      </c>
      <c r="I52" s="3">
        <f t="shared" si="2"/>
        <v>3240</v>
      </c>
      <c r="J52" s="122"/>
      <c r="K52" s="118"/>
      <c r="L52" s="118"/>
      <c r="M52" s="118"/>
      <c r="N52" s="1">
        <v>2700</v>
      </c>
      <c r="O52" s="118"/>
      <c r="P52" s="118"/>
      <c r="Q52" s="118"/>
      <c r="R52" s="118"/>
      <c r="S52" s="118"/>
    </row>
    <row r="53" spans="1:19" x14ac:dyDescent="0.3">
      <c r="A53">
        <v>48</v>
      </c>
      <c r="B53" s="19">
        <v>46138</v>
      </c>
      <c r="C53" s="2" t="s">
        <v>58</v>
      </c>
      <c r="D53" s="122"/>
      <c r="E53" s="2">
        <v>475</v>
      </c>
      <c r="F53" s="118"/>
      <c r="G53" s="3">
        <f t="shared" si="0"/>
        <v>911.11111111111109</v>
      </c>
      <c r="H53" s="3">
        <f t="shared" si="1"/>
        <v>1000</v>
      </c>
      <c r="I53" s="3">
        <f t="shared" si="2"/>
        <v>3240</v>
      </c>
      <c r="J53" s="122"/>
      <c r="K53" s="118"/>
      <c r="L53" s="118"/>
      <c r="M53" s="118"/>
      <c r="N53" s="1">
        <v>2700</v>
      </c>
      <c r="O53" s="118"/>
      <c r="P53" s="118"/>
      <c r="Q53" s="118"/>
      <c r="R53" s="118"/>
      <c r="S53" s="118"/>
    </row>
    <row r="54" spans="1:19" x14ac:dyDescent="0.3">
      <c r="A54">
        <v>49</v>
      </c>
      <c r="B54" s="19">
        <v>46138</v>
      </c>
      <c r="C54" s="2" t="s">
        <v>50</v>
      </c>
      <c r="D54" s="122">
        <v>276</v>
      </c>
      <c r="E54" s="2">
        <v>475</v>
      </c>
      <c r="F54" s="118">
        <f>+D54*E54</f>
        <v>131100</v>
      </c>
      <c r="G54" s="3">
        <f t="shared" si="0"/>
        <v>911.11111111111109</v>
      </c>
      <c r="H54" s="3">
        <f t="shared" si="1"/>
        <v>1000</v>
      </c>
      <c r="I54" s="3">
        <f t="shared" si="2"/>
        <v>3240</v>
      </c>
      <c r="J54" s="126">
        <f>+F54+SUM(G54:I57)</f>
        <v>151704.44444444444</v>
      </c>
      <c r="K54" s="118">
        <f>+J54/D54</f>
        <v>549.65378421900164</v>
      </c>
      <c r="L54" s="118">
        <v>590</v>
      </c>
      <c r="M54" s="118">
        <f>+L54*D54</f>
        <v>162840</v>
      </c>
      <c r="N54" s="1">
        <v>2875</v>
      </c>
      <c r="O54" s="118">
        <f>+M54+SUM(N54:N57)</f>
        <v>174340</v>
      </c>
      <c r="P54" s="118">
        <f>+O54-J54</f>
        <v>22635.555555555562</v>
      </c>
      <c r="Q54" s="118">
        <f>+O54/D54</f>
        <v>631.66666666666663</v>
      </c>
      <c r="R54" s="118">
        <f>+Q54-K54</f>
        <v>82.012882447664992</v>
      </c>
      <c r="S54" s="118">
        <f>+R54*D54</f>
        <v>22635.555555555537</v>
      </c>
    </row>
    <row r="55" spans="1:19" x14ac:dyDescent="0.3">
      <c r="A55">
        <v>50</v>
      </c>
      <c r="B55" s="19">
        <v>46138</v>
      </c>
      <c r="C55" s="2" t="s">
        <v>50</v>
      </c>
      <c r="D55" s="122"/>
      <c r="E55" s="2">
        <v>475</v>
      </c>
      <c r="F55" s="118"/>
      <c r="G55" s="3">
        <f t="shared" si="0"/>
        <v>911.11111111111109</v>
      </c>
      <c r="H55" s="3">
        <f t="shared" si="1"/>
        <v>1000</v>
      </c>
      <c r="I55" s="3">
        <f t="shared" si="2"/>
        <v>3240</v>
      </c>
      <c r="J55" s="122"/>
      <c r="K55" s="118"/>
      <c r="L55" s="118"/>
      <c r="M55" s="118"/>
      <c r="N55" s="1">
        <v>2875</v>
      </c>
      <c r="O55" s="118"/>
      <c r="P55" s="118"/>
      <c r="Q55" s="118"/>
      <c r="R55" s="118"/>
      <c r="S55" s="118"/>
    </row>
    <row r="56" spans="1:19" x14ac:dyDescent="0.3">
      <c r="A56">
        <v>51</v>
      </c>
      <c r="B56" s="19">
        <v>46138</v>
      </c>
      <c r="C56" s="2" t="s">
        <v>50</v>
      </c>
      <c r="D56" s="122"/>
      <c r="E56" s="2">
        <v>475</v>
      </c>
      <c r="F56" s="118"/>
      <c r="G56" s="3">
        <f t="shared" si="0"/>
        <v>911.11111111111109</v>
      </c>
      <c r="H56" s="3">
        <f t="shared" si="1"/>
        <v>1000</v>
      </c>
      <c r="I56" s="3">
        <f t="shared" si="2"/>
        <v>3240</v>
      </c>
      <c r="J56" s="122"/>
      <c r="K56" s="118"/>
      <c r="L56" s="118"/>
      <c r="M56" s="118"/>
      <c r="N56" s="1">
        <v>2875</v>
      </c>
      <c r="O56" s="118"/>
      <c r="P56" s="118"/>
      <c r="Q56" s="118"/>
      <c r="R56" s="118"/>
      <c r="S56" s="118"/>
    </row>
    <row r="57" spans="1:19" x14ac:dyDescent="0.3">
      <c r="A57">
        <v>52</v>
      </c>
      <c r="B57" s="19">
        <v>46138</v>
      </c>
      <c r="C57" s="2" t="s">
        <v>50</v>
      </c>
      <c r="D57" s="122"/>
      <c r="E57" s="2">
        <v>475</v>
      </c>
      <c r="F57" s="118"/>
      <c r="G57" s="3">
        <f t="shared" si="0"/>
        <v>911.11111111111109</v>
      </c>
      <c r="H57" s="3">
        <f t="shared" si="1"/>
        <v>1000</v>
      </c>
      <c r="I57" s="3">
        <f t="shared" si="2"/>
        <v>3240</v>
      </c>
      <c r="J57" s="122"/>
      <c r="K57" s="118"/>
      <c r="L57" s="118"/>
      <c r="M57" s="118"/>
      <c r="N57" s="1">
        <v>2875</v>
      </c>
      <c r="O57" s="118"/>
      <c r="P57" s="118"/>
      <c r="Q57" s="118"/>
      <c r="R57" s="118"/>
      <c r="S57" s="118"/>
    </row>
    <row r="58" spans="1:19" x14ac:dyDescent="0.3">
      <c r="A58">
        <v>53</v>
      </c>
      <c r="B58" s="19">
        <v>46138</v>
      </c>
      <c r="C58" s="2" t="s">
        <v>59</v>
      </c>
      <c r="D58" s="122">
        <v>131.5</v>
      </c>
      <c r="E58" s="2">
        <v>475</v>
      </c>
      <c r="F58" s="118">
        <f>+D58*E58</f>
        <v>62462.5</v>
      </c>
      <c r="G58" s="3">
        <f t="shared" si="0"/>
        <v>911.11111111111109</v>
      </c>
      <c r="H58" s="3">
        <f t="shared" si="1"/>
        <v>1000</v>
      </c>
      <c r="I58" s="3">
        <f t="shared" si="2"/>
        <v>3240</v>
      </c>
      <c r="J58" s="126">
        <f>+F58+SUM(G58:I59)</f>
        <v>72764.722222222219</v>
      </c>
      <c r="K58" s="118">
        <f>+J58/D58</f>
        <v>553.34389522602453</v>
      </c>
      <c r="L58" s="118">
        <v>577.95000000000005</v>
      </c>
      <c r="M58" s="120">
        <f>+L58*D58</f>
        <v>76000.425000000003</v>
      </c>
      <c r="O58" s="118">
        <f>+M58+N58+N59</f>
        <v>76000.425000000003</v>
      </c>
      <c r="P58" s="118">
        <f>+O58-J58</f>
        <v>3235.7027777777839</v>
      </c>
      <c r="Q58" s="118">
        <f>+O58/D58</f>
        <v>577.95000000000005</v>
      </c>
      <c r="R58" s="118">
        <f>+Q58-K58</f>
        <v>24.606104773975517</v>
      </c>
      <c r="S58" s="118">
        <f>+R58*D58</f>
        <v>3235.7027777777803</v>
      </c>
    </row>
    <row r="59" spans="1:19" x14ac:dyDescent="0.3">
      <c r="A59">
        <v>54</v>
      </c>
      <c r="B59" s="19">
        <v>46138</v>
      </c>
      <c r="C59" s="2" t="s">
        <v>59</v>
      </c>
      <c r="D59" s="122"/>
      <c r="E59" s="2">
        <v>475</v>
      </c>
      <c r="F59" s="118"/>
      <c r="G59" s="3">
        <f t="shared" si="0"/>
        <v>911.11111111111109</v>
      </c>
      <c r="H59" s="3">
        <f t="shared" si="1"/>
        <v>1000</v>
      </c>
      <c r="I59" s="3">
        <f t="shared" si="2"/>
        <v>3240</v>
      </c>
      <c r="J59" s="122"/>
      <c r="K59" s="118"/>
      <c r="L59" s="118"/>
      <c r="M59" s="120"/>
      <c r="O59" s="118"/>
      <c r="P59" s="118"/>
      <c r="Q59" s="118"/>
      <c r="R59" s="118"/>
      <c r="S59" s="118"/>
    </row>
    <row r="60" spans="1:19" x14ac:dyDescent="0.3">
      <c r="A60">
        <v>55</v>
      </c>
      <c r="B60" s="19">
        <v>46142</v>
      </c>
      <c r="C60" s="2" t="s">
        <v>60</v>
      </c>
      <c r="D60" s="122">
        <v>177.5</v>
      </c>
      <c r="E60" s="2">
        <v>475</v>
      </c>
      <c r="F60" s="118">
        <f>+D60*E60</f>
        <v>84312.5</v>
      </c>
      <c r="G60" s="3">
        <f t="shared" si="0"/>
        <v>911.11111111111109</v>
      </c>
      <c r="H60" s="3">
        <f t="shared" si="1"/>
        <v>1000</v>
      </c>
      <c r="I60" s="3">
        <f t="shared" si="2"/>
        <v>3240</v>
      </c>
      <c r="J60" s="126">
        <f>+F60+SUM(G60:I61)</f>
        <v>94614.722222222219</v>
      </c>
      <c r="K60" s="118">
        <f>+J60/D60</f>
        <v>533.04068857589982</v>
      </c>
      <c r="L60" s="118">
        <v>580.28169014084506</v>
      </c>
      <c r="M60" s="118">
        <f>+L60*D60</f>
        <v>103000</v>
      </c>
      <c r="N60" s="1">
        <v>1500</v>
      </c>
      <c r="O60" s="118">
        <f>+M60+N61+N60</f>
        <v>106000</v>
      </c>
      <c r="P60" s="118">
        <f>+O60-J60</f>
        <v>11385.277777777781</v>
      </c>
      <c r="Q60" s="118">
        <f>+O60/D60</f>
        <v>597.18309859154931</v>
      </c>
      <c r="R60" s="118">
        <f>+Q60-K60</f>
        <v>64.142410015649489</v>
      </c>
      <c r="S60" s="118">
        <f>+R60*D60</f>
        <v>11385.277777777785</v>
      </c>
    </row>
    <row r="61" spans="1:19" x14ac:dyDescent="0.3">
      <c r="A61">
        <v>56</v>
      </c>
      <c r="B61" s="19">
        <v>46142</v>
      </c>
      <c r="C61" s="2" t="s">
        <v>60</v>
      </c>
      <c r="D61" s="122"/>
      <c r="E61" s="2">
        <v>475</v>
      </c>
      <c r="F61" s="118"/>
      <c r="G61" s="3">
        <f t="shared" si="0"/>
        <v>911.11111111111109</v>
      </c>
      <c r="H61" s="3">
        <f t="shared" si="1"/>
        <v>1000</v>
      </c>
      <c r="I61" s="3">
        <f t="shared" si="2"/>
        <v>3240</v>
      </c>
      <c r="J61" s="122"/>
      <c r="K61" s="118"/>
      <c r="L61" s="118"/>
      <c r="M61" s="118"/>
      <c r="N61" s="1">
        <v>1500</v>
      </c>
      <c r="O61" s="118"/>
      <c r="P61" s="118"/>
      <c r="Q61" s="118"/>
      <c r="R61" s="118"/>
      <c r="S61" s="118"/>
    </row>
    <row r="62" spans="1:19" x14ac:dyDescent="0.3">
      <c r="A62">
        <v>57</v>
      </c>
      <c r="B62" s="19">
        <v>46142</v>
      </c>
      <c r="C62" s="2" t="s">
        <v>61</v>
      </c>
      <c r="D62" s="122">
        <v>460</v>
      </c>
      <c r="E62" s="2">
        <v>475</v>
      </c>
      <c r="F62" s="118">
        <f>+D62*E62</f>
        <v>218500</v>
      </c>
      <c r="G62" s="3">
        <f t="shared" si="0"/>
        <v>911.11111111111109</v>
      </c>
      <c r="H62" s="3">
        <f t="shared" si="1"/>
        <v>1000</v>
      </c>
      <c r="I62" s="3">
        <f t="shared" si="2"/>
        <v>3240</v>
      </c>
      <c r="J62" s="126">
        <f>+F62+SUM(G62:I67)</f>
        <v>249406.66666666666</v>
      </c>
      <c r="K62" s="118">
        <f>+J62/D62</f>
        <v>542.18840579710138</v>
      </c>
      <c r="L62" s="118">
        <v>625</v>
      </c>
      <c r="M62" s="118">
        <f>+L62*D62</f>
        <v>287500</v>
      </c>
      <c r="N62" s="1">
        <v>2200</v>
      </c>
      <c r="O62" s="118">
        <f>+M62+SUM(N62:N67)</f>
        <v>300700</v>
      </c>
      <c r="P62" s="118">
        <f>+O62-J62</f>
        <v>51293.333333333343</v>
      </c>
      <c r="Q62" s="118">
        <f>+O62/D62</f>
        <v>653.695652173913</v>
      </c>
      <c r="R62" s="118">
        <f>+Q62-K62</f>
        <v>111.50724637681162</v>
      </c>
      <c r="S62" s="118">
        <f>+R62*D62</f>
        <v>51293.333333333343</v>
      </c>
    </row>
    <row r="63" spans="1:19" x14ac:dyDescent="0.3">
      <c r="A63">
        <v>58</v>
      </c>
      <c r="B63" s="19">
        <v>46142</v>
      </c>
      <c r="C63" s="2" t="s">
        <v>61</v>
      </c>
      <c r="D63" s="122"/>
      <c r="E63" s="2">
        <v>475</v>
      </c>
      <c r="F63" s="118"/>
      <c r="G63" s="3">
        <f t="shared" si="0"/>
        <v>911.11111111111109</v>
      </c>
      <c r="H63" s="3">
        <f t="shared" si="1"/>
        <v>1000</v>
      </c>
      <c r="I63" s="3">
        <f t="shared" si="2"/>
        <v>3240</v>
      </c>
      <c r="J63" s="122"/>
      <c r="K63" s="118"/>
      <c r="L63" s="118"/>
      <c r="M63" s="118"/>
      <c r="N63" s="1">
        <v>2200</v>
      </c>
      <c r="O63" s="118"/>
      <c r="P63" s="118"/>
      <c r="Q63" s="118"/>
      <c r="R63" s="118"/>
      <c r="S63" s="118"/>
    </row>
    <row r="64" spans="1:19" x14ac:dyDescent="0.3">
      <c r="A64">
        <v>59</v>
      </c>
      <c r="B64" s="19">
        <v>46142</v>
      </c>
      <c r="C64" s="2" t="s">
        <v>61</v>
      </c>
      <c r="D64" s="122"/>
      <c r="E64" s="2">
        <v>475</v>
      </c>
      <c r="F64" s="118"/>
      <c r="G64" s="3">
        <f t="shared" si="0"/>
        <v>911.11111111111109</v>
      </c>
      <c r="H64" s="3">
        <f t="shared" si="1"/>
        <v>1000</v>
      </c>
      <c r="I64" s="3">
        <f t="shared" si="2"/>
        <v>3240</v>
      </c>
      <c r="J64" s="122"/>
      <c r="K64" s="118"/>
      <c r="L64" s="118"/>
      <c r="M64" s="118"/>
      <c r="N64" s="1">
        <v>2200</v>
      </c>
      <c r="O64" s="118"/>
      <c r="P64" s="118"/>
      <c r="Q64" s="118"/>
      <c r="R64" s="118"/>
      <c r="S64" s="118"/>
    </row>
    <row r="65" spans="1:19" x14ac:dyDescent="0.3">
      <c r="A65">
        <v>60</v>
      </c>
      <c r="B65" s="19">
        <v>46142</v>
      </c>
      <c r="C65" s="2" t="s">
        <v>61</v>
      </c>
      <c r="D65" s="122"/>
      <c r="E65" s="2">
        <v>475</v>
      </c>
      <c r="F65" s="118"/>
      <c r="G65" s="3">
        <f t="shared" si="0"/>
        <v>911.11111111111109</v>
      </c>
      <c r="H65" s="3">
        <f t="shared" si="1"/>
        <v>1000</v>
      </c>
      <c r="I65" s="3">
        <f t="shared" si="2"/>
        <v>3240</v>
      </c>
      <c r="J65" s="122"/>
      <c r="K65" s="118"/>
      <c r="L65" s="118"/>
      <c r="M65" s="118"/>
      <c r="N65" s="1">
        <v>2200</v>
      </c>
      <c r="O65" s="118"/>
      <c r="P65" s="118"/>
      <c r="Q65" s="118"/>
      <c r="R65" s="118"/>
      <c r="S65" s="118"/>
    </row>
    <row r="66" spans="1:19" x14ac:dyDescent="0.3">
      <c r="A66">
        <v>61</v>
      </c>
      <c r="B66" s="19">
        <v>46142</v>
      </c>
      <c r="C66" s="2" t="s">
        <v>61</v>
      </c>
      <c r="D66" s="122"/>
      <c r="E66" s="2">
        <v>475</v>
      </c>
      <c r="F66" s="118"/>
      <c r="G66" s="3">
        <f t="shared" si="0"/>
        <v>911.11111111111109</v>
      </c>
      <c r="H66" s="3">
        <f t="shared" si="1"/>
        <v>1000</v>
      </c>
      <c r="I66" s="3">
        <f t="shared" si="2"/>
        <v>3240</v>
      </c>
      <c r="J66" s="122"/>
      <c r="K66" s="118"/>
      <c r="L66" s="118"/>
      <c r="M66" s="118"/>
      <c r="N66" s="1">
        <v>2200</v>
      </c>
      <c r="O66" s="118"/>
      <c r="P66" s="118"/>
      <c r="Q66" s="118"/>
      <c r="R66" s="118"/>
      <c r="S66" s="118"/>
    </row>
    <row r="67" spans="1:19" x14ac:dyDescent="0.3">
      <c r="A67">
        <v>62</v>
      </c>
      <c r="B67" s="19">
        <v>46142</v>
      </c>
      <c r="C67" s="2" t="s">
        <v>61</v>
      </c>
      <c r="D67" s="122"/>
      <c r="E67" s="2">
        <v>475</v>
      </c>
      <c r="F67" s="118"/>
      <c r="G67" s="3">
        <f t="shared" si="0"/>
        <v>911.11111111111109</v>
      </c>
      <c r="H67" s="3">
        <f t="shared" si="1"/>
        <v>1000</v>
      </c>
      <c r="I67" s="3">
        <f t="shared" si="2"/>
        <v>3240</v>
      </c>
      <c r="J67" s="122"/>
      <c r="K67" s="118"/>
      <c r="L67" s="118"/>
      <c r="M67" s="118"/>
      <c r="N67" s="1">
        <v>2200</v>
      </c>
      <c r="O67" s="118"/>
      <c r="P67" s="118"/>
      <c r="Q67" s="118"/>
      <c r="R67" s="118"/>
      <c r="S67" s="118"/>
    </row>
    <row r="68" spans="1:19" x14ac:dyDescent="0.3">
      <c r="A68">
        <v>63</v>
      </c>
      <c r="B68" s="19">
        <v>46143</v>
      </c>
      <c r="C68" s="2" t="s">
        <v>62</v>
      </c>
      <c r="D68" s="14">
        <v>71</v>
      </c>
      <c r="E68" s="2">
        <v>475</v>
      </c>
      <c r="F68" s="15">
        <f>+D68*E68</f>
        <v>33725</v>
      </c>
      <c r="G68" s="3">
        <f t="shared" si="0"/>
        <v>911.11111111111109</v>
      </c>
      <c r="H68" s="3">
        <f t="shared" si="1"/>
        <v>1000</v>
      </c>
      <c r="I68" s="3">
        <f t="shared" si="2"/>
        <v>3240</v>
      </c>
      <c r="J68" s="18">
        <f>+SUM(F68:I68)</f>
        <v>38876.111111111109</v>
      </c>
      <c r="K68" s="15">
        <f>+J68/D68</f>
        <v>547.55086071987478</v>
      </c>
      <c r="L68" s="15">
        <f>42000/71</f>
        <v>591.54929577464793</v>
      </c>
      <c r="M68" s="15">
        <f>+L68*D68</f>
        <v>42000</v>
      </c>
      <c r="N68" s="1">
        <v>2400</v>
      </c>
      <c r="O68" s="15">
        <f>+M68+N68</f>
        <v>44400</v>
      </c>
      <c r="P68" s="15">
        <f>+O68-J68</f>
        <v>5523.8888888888905</v>
      </c>
      <c r="Q68" s="15">
        <f>+O68/D68</f>
        <v>625.35211267605632</v>
      </c>
      <c r="R68" s="15">
        <f>+Q68-K68</f>
        <v>77.801251956181545</v>
      </c>
      <c r="S68" s="15">
        <f>+R68*D68</f>
        <v>5523.8888888888896</v>
      </c>
    </row>
    <row r="69" spans="1:19" x14ac:dyDescent="0.3">
      <c r="A69">
        <v>64</v>
      </c>
      <c r="B69" s="19">
        <v>46143</v>
      </c>
      <c r="C69" s="2" t="s">
        <v>63</v>
      </c>
      <c r="D69" s="122">
        <v>150</v>
      </c>
      <c r="E69" s="2">
        <v>475</v>
      </c>
      <c r="F69" s="118">
        <f>+D69*E69</f>
        <v>71250</v>
      </c>
      <c r="G69" s="3">
        <f t="shared" si="0"/>
        <v>911.11111111111109</v>
      </c>
      <c r="H69" s="3">
        <f t="shared" si="1"/>
        <v>1000</v>
      </c>
      <c r="I69" s="3">
        <f t="shared" si="2"/>
        <v>3240</v>
      </c>
      <c r="J69" s="126">
        <f>+F69+SUM(G69:I70)</f>
        <v>81552.222222222219</v>
      </c>
      <c r="K69" s="118">
        <f>+J69/D69</f>
        <v>543.68148148148146</v>
      </c>
      <c r="L69" s="118">
        <v>600</v>
      </c>
      <c r="M69" s="118">
        <f>+L69*D69</f>
        <v>90000</v>
      </c>
      <c r="N69" s="1">
        <v>2400</v>
      </c>
      <c r="O69" s="118">
        <f>+M69+N69+N70</f>
        <v>94800</v>
      </c>
      <c r="P69" s="118">
        <f>+O69-J69</f>
        <v>13247.777777777781</v>
      </c>
      <c r="Q69" s="118">
        <f>+O69/D69</f>
        <v>632</v>
      </c>
      <c r="R69" s="118">
        <f>+Q69-K69</f>
        <v>88.318518518518545</v>
      </c>
      <c r="S69" s="118">
        <f>+R69*D69</f>
        <v>13247.777777777781</v>
      </c>
    </row>
    <row r="70" spans="1:19" x14ac:dyDescent="0.3">
      <c r="A70">
        <v>65</v>
      </c>
      <c r="B70" s="19">
        <v>46143</v>
      </c>
      <c r="C70" s="2" t="s">
        <v>63</v>
      </c>
      <c r="D70" s="122"/>
      <c r="E70" s="2">
        <v>475</v>
      </c>
      <c r="F70" s="118"/>
      <c r="G70" s="3">
        <f t="shared" si="0"/>
        <v>911.11111111111109</v>
      </c>
      <c r="H70" s="3">
        <f t="shared" si="1"/>
        <v>1000</v>
      </c>
      <c r="I70" s="3">
        <f t="shared" si="2"/>
        <v>3240</v>
      </c>
      <c r="J70" s="122"/>
      <c r="K70" s="118"/>
      <c r="L70" s="118"/>
      <c r="M70" s="118"/>
      <c r="N70" s="1">
        <v>2400</v>
      </c>
      <c r="O70" s="118"/>
      <c r="P70" s="118"/>
      <c r="Q70" s="118"/>
      <c r="R70" s="118"/>
      <c r="S70" s="118"/>
    </row>
    <row r="71" spans="1:19" x14ac:dyDescent="0.3">
      <c r="A71">
        <v>66</v>
      </c>
      <c r="B71" s="19">
        <v>46143</v>
      </c>
      <c r="C71" s="2" t="s">
        <v>64</v>
      </c>
      <c r="D71" s="122">
        <v>202</v>
      </c>
      <c r="E71" s="2">
        <v>475</v>
      </c>
      <c r="F71" s="118">
        <f>+D71*E71</f>
        <v>95950</v>
      </c>
      <c r="G71" s="3">
        <f t="shared" si="0"/>
        <v>911.11111111111109</v>
      </c>
      <c r="H71" s="3">
        <f t="shared" si="1"/>
        <v>1000</v>
      </c>
      <c r="I71" s="3">
        <f t="shared" si="2"/>
        <v>3240</v>
      </c>
      <c r="J71" s="126">
        <f>+F71+SUM(G71:I73)</f>
        <v>111403.33333333333</v>
      </c>
      <c r="K71" s="118">
        <f>+J71/D71</f>
        <v>551.50165016501649</v>
      </c>
      <c r="L71" s="118">
        <v>580</v>
      </c>
      <c r="M71" s="118">
        <f>+L71*D71</f>
        <v>117160</v>
      </c>
      <c r="N71" s="1">
        <v>2400</v>
      </c>
      <c r="O71" s="118">
        <f>+M71+SUM(N71:N73)</f>
        <v>124360</v>
      </c>
      <c r="P71" s="118">
        <f>+O71-J71</f>
        <v>12956.666666666672</v>
      </c>
      <c r="Q71" s="118">
        <f>+O71/D71</f>
        <v>615.6435643564356</v>
      </c>
      <c r="R71" s="118">
        <f>+Q71-K71</f>
        <v>64.141914191419119</v>
      </c>
      <c r="S71" s="118">
        <f>+R71*D71</f>
        <v>12956.666666666662</v>
      </c>
    </row>
    <row r="72" spans="1:19" x14ac:dyDescent="0.3">
      <c r="A72">
        <v>67</v>
      </c>
      <c r="B72" s="19">
        <v>46143</v>
      </c>
      <c r="C72" s="2" t="s">
        <v>64</v>
      </c>
      <c r="D72" s="122"/>
      <c r="E72" s="2">
        <v>475</v>
      </c>
      <c r="F72" s="118"/>
      <c r="G72" s="3">
        <f t="shared" ref="G72:G97" si="3">+$B$3</f>
        <v>911.11111111111109</v>
      </c>
      <c r="H72" s="3">
        <f t="shared" ref="H72:H97" si="4">+$D$3</f>
        <v>1000</v>
      </c>
      <c r="I72" s="3">
        <f t="shared" ref="I72:I97" si="5">+$H$2</f>
        <v>3240</v>
      </c>
      <c r="J72" s="122"/>
      <c r="K72" s="118"/>
      <c r="L72" s="118"/>
      <c r="M72" s="118"/>
      <c r="N72" s="1">
        <v>2400</v>
      </c>
      <c r="O72" s="118"/>
      <c r="P72" s="118"/>
      <c r="Q72" s="118"/>
      <c r="R72" s="118"/>
      <c r="S72" s="118"/>
    </row>
    <row r="73" spans="1:19" x14ac:dyDescent="0.3">
      <c r="A73">
        <v>68</v>
      </c>
      <c r="B73" s="19">
        <v>46143</v>
      </c>
      <c r="C73" s="2" t="s">
        <v>64</v>
      </c>
      <c r="D73" s="122"/>
      <c r="E73" s="2">
        <v>475</v>
      </c>
      <c r="F73" s="118"/>
      <c r="G73" s="3">
        <f t="shared" si="3"/>
        <v>911.11111111111109</v>
      </c>
      <c r="H73" s="3">
        <f t="shared" si="4"/>
        <v>1000</v>
      </c>
      <c r="I73" s="3">
        <f t="shared" si="5"/>
        <v>3240</v>
      </c>
      <c r="J73" s="122"/>
      <c r="K73" s="118"/>
      <c r="L73" s="118"/>
      <c r="M73" s="118"/>
      <c r="N73" s="1">
        <v>2400</v>
      </c>
      <c r="O73" s="118"/>
      <c r="P73" s="118"/>
      <c r="Q73" s="118"/>
      <c r="R73" s="118"/>
      <c r="S73" s="118"/>
    </row>
    <row r="74" spans="1:19" x14ac:dyDescent="0.3">
      <c r="A74">
        <v>69</v>
      </c>
      <c r="B74" s="19">
        <v>46143</v>
      </c>
      <c r="C74" s="2" t="s">
        <v>59</v>
      </c>
      <c r="D74" s="122">
        <v>282.5</v>
      </c>
      <c r="E74" s="2">
        <v>475</v>
      </c>
      <c r="F74" s="118">
        <f>+D74*E74</f>
        <v>134187.5</v>
      </c>
      <c r="G74" s="3">
        <f t="shared" si="3"/>
        <v>911.11111111111109</v>
      </c>
      <c r="H74" s="3">
        <f t="shared" si="4"/>
        <v>1000</v>
      </c>
      <c r="I74" s="3">
        <f t="shared" si="5"/>
        <v>3240</v>
      </c>
      <c r="J74" s="126">
        <f>+F74+SUM(G74:I77)</f>
        <v>154791.94444444444</v>
      </c>
      <c r="K74" s="118">
        <f>+J74/D74</f>
        <v>547.93608652900684</v>
      </c>
      <c r="L74" s="118">
        <v>600</v>
      </c>
      <c r="M74" s="118">
        <f>+L74*D74</f>
        <v>169500</v>
      </c>
      <c r="N74" s="1">
        <v>2000</v>
      </c>
      <c r="O74" s="118">
        <f>+M74+SUM(N74:N77)</f>
        <v>177500</v>
      </c>
      <c r="P74" s="118">
        <f>+O74-J74</f>
        <v>22708.055555555562</v>
      </c>
      <c r="Q74" s="118">
        <f>+O74/D74</f>
        <v>628.31858407079642</v>
      </c>
      <c r="R74" s="118">
        <f>+Q74-K74</f>
        <v>80.382497541789576</v>
      </c>
      <c r="S74" s="118">
        <f>+R74*D74</f>
        <v>22708.055555555555</v>
      </c>
    </row>
    <row r="75" spans="1:19" x14ac:dyDescent="0.3">
      <c r="A75">
        <v>70</v>
      </c>
      <c r="B75" s="19">
        <v>46143</v>
      </c>
      <c r="C75" s="2" t="s">
        <v>59</v>
      </c>
      <c r="D75" s="122"/>
      <c r="E75" s="2">
        <v>475</v>
      </c>
      <c r="F75" s="118"/>
      <c r="G75" s="3">
        <f t="shared" si="3"/>
        <v>911.11111111111109</v>
      </c>
      <c r="H75" s="3">
        <f t="shared" si="4"/>
        <v>1000</v>
      </c>
      <c r="I75" s="3">
        <f t="shared" si="5"/>
        <v>3240</v>
      </c>
      <c r="J75" s="122"/>
      <c r="K75" s="118"/>
      <c r="L75" s="118"/>
      <c r="M75" s="118"/>
      <c r="N75" s="1">
        <v>2000</v>
      </c>
      <c r="O75" s="118"/>
      <c r="P75" s="118"/>
      <c r="Q75" s="118"/>
      <c r="R75" s="118"/>
      <c r="S75" s="118"/>
    </row>
    <row r="76" spans="1:19" x14ac:dyDescent="0.3">
      <c r="A76">
        <v>71</v>
      </c>
      <c r="B76" s="19">
        <v>46143</v>
      </c>
      <c r="C76" s="2" t="s">
        <v>59</v>
      </c>
      <c r="D76" s="122"/>
      <c r="E76" s="2">
        <v>475</v>
      </c>
      <c r="F76" s="118"/>
      <c r="G76" s="3">
        <f t="shared" si="3"/>
        <v>911.11111111111109</v>
      </c>
      <c r="H76" s="3">
        <f t="shared" si="4"/>
        <v>1000</v>
      </c>
      <c r="I76" s="3">
        <f t="shared" si="5"/>
        <v>3240</v>
      </c>
      <c r="J76" s="122"/>
      <c r="K76" s="118"/>
      <c r="L76" s="118"/>
      <c r="M76" s="118"/>
      <c r="N76" s="1">
        <v>2000</v>
      </c>
      <c r="O76" s="118"/>
      <c r="P76" s="118"/>
      <c r="Q76" s="118"/>
      <c r="R76" s="118"/>
      <c r="S76" s="118"/>
    </row>
    <row r="77" spans="1:19" x14ac:dyDescent="0.3">
      <c r="A77">
        <v>72</v>
      </c>
      <c r="B77" s="19">
        <v>46143</v>
      </c>
      <c r="C77" s="2" t="s">
        <v>59</v>
      </c>
      <c r="D77" s="122"/>
      <c r="E77" s="2">
        <v>475</v>
      </c>
      <c r="F77" s="118"/>
      <c r="G77" s="3">
        <f t="shared" si="3"/>
        <v>911.11111111111109</v>
      </c>
      <c r="H77" s="3">
        <f t="shared" si="4"/>
        <v>1000</v>
      </c>
      <c r="I77" s="3">
        <f t="shared" si="5"/>
        <v>3240</v>
      </c>
      <c r="J77" s="122"/>
      <c r="K77" s="118"/>
      <c r="L77" s="118"/>
      <c r="M77" s="118"/>
      <c r="N77" s="1">
        <v>2000</v>
      </c>
      <c r="O77" s="118"/>
      <c r="P77" s="118"/>
      <c r="Q77" s="118"/>
      <c r="R77" s="118"/>
      <c r="S77" s="118"/>
    </row>
    <row r="78" spans="1:19" x14ac:dyDescent="0.3">
      <c r="A78">
        <v>73</v>
      </c>
      <c r="B78" s="19">
        <v>46144</v>
      </c>
      <c r="C78" s="2" t="s">
        <v>65</v>
      </c>
      <c r="D78" s="122">
        <v>134</v>
      </c>
      <c r="E78" s="2">
        <v>475</v>
      </c>
      <c r="F78" s="118">
        <f>+D78*E78</f>
        <v>63650</v>
      </c>
      <c r="G78" s="3">
        <f t="shared" si="3"/>
        <v>911.11111111111109</v>
      </c>
      <c r="H78" s="3">
        <f t="shared" si="4"/>
        <v>1000</v>
      </c>
      <c r="I78" s="3">
        <f t="shared" si="5"/>
        <v>3240</v>
      </c>
      <c r="J78" s="126">
        <f>+F78+SUM(G78:I79)</f>
        <v>73952.222222222219</v>
      </c>
      <c r="K78" s="118">
        <f>+J78/D78</f>
        <v>551.88225538971801</v>
      </c>
      <c r="L78" s="118">
        <v>614.92999999999995</v>
      </c>
      <c r="M78" s="118">
        <f>+L78*D78</f>
        <v>82400.62</v>
      </c>
      <c r="N78" s="1">
        <v>1800</v>
      </c>
      <c r="O78" s="118">
        <f>+M78+N79+N78</f>
        <v>86000.62</v>
      </c>
      <c r="P78" s="118">
        <f>+O78-J78</f>
        <v>12048.397777777776</v>
      </c>
      <c r="Q78" s="118">
        <f>+O78/D78</f>
        <v>641.79567164179105</v>
      </c>
      <c r="R78" s="118">
        <f>+Q78-K78</f>
        <v>89.913416252073034</v>
      </c>
      <c r="S78" s="118">
        <f>+R78*D78</f>
        <v>12048.397777777787</v>
      </c>
    </row>
    <row r="79" spans="1:19" x14ac:dyDescent="0.3">
      <c r="A79">
        <v>74</v>
      </c>
      <c r="B79" s="19">
        <v>46144</v>
      </c>
      <c r="C79" s="2" t="s">
        <v>65</v>
      </c>
      <c r="D79" s="122"/>
      <c r="E79" s="2">
        <v>475</v>
      </c>
      <c r="F79" s="118"/>
      <c r="G79" s="3">
        <f t="shared" si="3"/>
        <v>911.11111111111109</v>
      </c>
      <c r="H79" s="3">
        <f t="shared" si="4"/>
        <v>1000</v>
      </c>
      <c r="I79" s="3">
        <f t="shared" si="5"/>
        <v>3240</v>
      </c>
      <c r="J79" s="122"/>
      <c r="K79" s="118"/>
      <c r="L79" s="118"/>
      <c r="M79" s="118"/>
      <c r="N79" s="1">
        <v>1800</v>
      </c>
      <c r="O79" s="118"/>
      <c r="P79" s="118"/>
      <c r="Q79" s="118"/>
      <c r="R79" s="118"/>
      <c r="S79" s="118"/>
    </row>
    <row r="80" spans="1:19" x14ac:dyDescent="0.3">
      <c r="A80">
        <v>75</v>
      </c>
      <c r="B80" s="19">
        <v>46144</v>
      </c>
      <c r="C80" s="2" t="s">
        <v>66</v>
      </c>
      <c r="D80" s="14">
        <v>76</v>
      </c>
      <c r="E80" s="2">
        <v>475</v>
      </c>
      <c r="F80" s="15">
        <f>+D80*E80</f>
        <v>36100</v>
      </c>
      <c r="G80" s="3">
        <f t="shared" si="3"/>
        <v>911.11111111111109</v>
      </c>
      <c r="H80" s="3">
        <f t="shared" si="4"/>
        <v>1000</v>
      </c>
      <c r="I80" s="3">
        <f t="shared" si="5"/>
        <v>3240</v>
      </c>
      <c r="J80" s="18">
        <f>+SUM(F80:I80)</f>
        <v>41251.111111111109</v>
      </c>
      <c r="K80" s="15">
        <f>+J80/D80</f>
        <v>542.77777777777771</v>
      </c>
      <c r="L80" s="15">
        <v>600</v>
      </c>
      <c r="M80" s="15">
        <f>+L80*D80</f>
        <v>45600</v>
      </c>
      <c r="N80" s="1">
        <v>2100</v>
      </c>
      <c r="O80" s="15">
        <f>+M80+N80</f>
        <v>47700</v>
      </c>
      <c r="P80" s="15">
        <f>+O80-J80</f>
        <v>6448.8888888888905</v>
      </c>
      <c r="Q80" s="15">
        <f>+O80/D80</f>
        <v>627.63157894736844</v>
      </c>
      <c r="R80" s="15">
        <f>+Q80-K80</f>
        <v>84.853801169590724</v>
      </c>
      <c r="S80" s="15">
        <f>+R80*D80</f>
        <v>6448.8888888888951</v>
      </c>
    </row>
    <row r="81" spans="1:19" x14ac:dyDescent="0.3">
      <c r="A81">
        <v>76</v>
      </c>
      <c r="B81" s="19">
        <v>46144</v>
      </c>
      <c r="C81" s="2" t="s">
        <v>67</v>
      </c>
      <c r="D81" s="14">
        <v>95</v>
      </c>
      <c r="E81" s="2">
        <v>475</v>
      </c>
      <c r="F81" s="15">
        <f>+D81*E81</f>
        <v>45125</v>
      </c>
      <c r="G81" s="3">
        <f t="shared" si="3"/>
        <v>911.11111111111109</v>
      </c>
      <c r="H81" s="3">
        <f t="shared" si="4"/>
        <v>1000</v>
      </c>
      <c r="I81" s="3">
        <f t="shared" si="5"/>
        <v>3240</v>
      </c>
      <c r="J81" s="18">
        <f>+SUM(F81:I81)</f>
        <v>50276.111111111109</v>
      </c>
      <c r="K81" s="15">
        <f>+J81/D81</f>
        <v>529.22222222222217</v>
      </c>
      <c r="L81" s="15">
        <v>615.79</v>
      </c>
      <c r="M81" s="15">
        <f>+L81*D81</f>
        <v>58500.049999999996</v>
      </c>
      <c r="N81" s="1">
        <v>2100</v>
      </c>
      <c r="O81" s="15">
        <f>+M81+N81</f>
        <v>60600.049999999996</v>
      </c>
      <c r="P81" s="15">
        <f>+O81-J81</f>
        <v>10323.938888888886</v>
      </c>
      <c r="Q81" s="15">
        <f>+O81/D81</f>
        <v>637.89526315789465</v>
      </c>
      <c r="R81" s="15">
        <f>+Q81-K81</f>
        <v>108.67304093567247</v>
      </c>
      <c r="S81" s="15">
        <f>+R81*D81</f>
        <v>10323.938888888884</v>
      </c>
    </row>
    <row r="82" spans="1:19" x14ac:dyDescent="0.3">
      <c r="A82">
        <v>77</v>
      </c>
      <c r="B82" s="19">
        <v>46145</v>
      </c>
      <c r="C82" s="2" t="s">
        <v>68</v>
      </c>
      <c r="D82" s="122">
        <v>240</v>
      </c>
      <c r="E82" s="2">
        <v>475</v>
      </c>
      <c r="F82" s="118">
        <f>+D82*E82</f>
        <v>114000</v>
      </c>
      <c r="G82" s="3">
        <f t="shared" si="3"/>
        <v>911.11111111111109</v>
      </c>
      <c r="H82" s="3">
        <f t="shared" si="4"/>
        <v>1000</v>
      </c>
      <c r="I82" s="3">
        <f t="shared" si="5"/>
        <v>3240</v>
      </c>
      <c r="J82" s="126">
        <f>+F82+SUM(G82:I84)</f>
        <v>129453.33333333333</v>
      </c>
      <c r="K82" s="118">
        <f>+J82/D82</f>
        <v>539.38888888888891</v>
      </c>
      <c r="L82" s="118">
        <v>580</v>
      </c>
      <c r="M82" s="118">
        <f>+L82*D82</f>
        <v>139200</v>
      </c>
      <c r="N82" s="1">
        <v>2100</v>
      </c>
      <c r="O82" s="118">
        <f>+M82+SUM(N82:N84)</f>
        <v>145300</v>
      </c>
      <c r="P82" s="118">
        <f>+O82-J82</f>
        <v>15846.666666666672</v>
      </c>
      <c r="Q82" s="118">
        <f>+O82/D82</f>
        <v>605.41666666666663</v>
      </c>
      <c r="R82" s="118">
        <f>+Q82-K82</f>
        <v>66.027777777777715</v>
      </c>
      <c r="S82" s="118">
        <f>+R82*D82</f>
        <v>15846.666666666652</v>
      </c>
    </row>
    <row r="83" spans="1:19" x14ac:dyDescent="0.3">
      <c r="A83">
        <v>78</v>
      </c>
      <c r="B83" s="19">
        <v>46145</v>
      </c>
      <c r="C83" s="2" t="s">
        <v>68</v>
      </c>
      <c r="D83" s="122"/>
      <c r="E83" s="2">
        <v>475</v>
      </c>
      <c r="F83" s="118"/>
      <c r="G83" s="3">
        <f t="shared" si="3"/>
        <v>911.11111111111109</v>
      </c>
      <c r="H83" s="3">
        <f t="shared" si="4"/>
        <v>1000</v>
      </c>
      <c r="I83" s="3">
        <f t="shared" si="5"/>
        <v>3240</v>
      </c>
      <c r="J83" s="122"/>
      <c r="K83" s="118"/>
      <c r="L83" s="118"/>
      <c r="M83" s="118"/>
      <c r="N83" s="1">
        <v>2000</v>
      </c>
      <c r="O83" s="118"/>
      <c r="P83" s="118"/>
      <c r="Q83" s="118"/>
      <c r="R83" s="118"/>
      <c r="S83" s="118"/>
    </row>
    <row r="84" spans="1:19" x14ac:dyDescent="0.3">
      <c r="A84">
        <v>79</v>
      </c>
      <c r="B84" s="19">
        <v>46145</v>
      </c>
      <c r="C84" s="2" t="s">
        <v>68</v>
      </c>
      <c r="D84" s="122"/>
      <c r="E84" s="2">
        <v>475</v>
      </c>
      <c r="F84" s="118"/>
      <c r="G84" s="3">
        <f t="shared" si="3"/>
        <v>911.11111111111109</v>
      </c>
      <c r="H84" s="3">
        <f t="shared" si="4"/>
        <v>1000</v>
      </c>
      <c r="I84" s="3">
        <f t="shared" si="5"/>
        <v>3240</v>
      </c>
      <c r="J84" s="122"/>
      <c r="K84" s="118"/>
      <c r="L84" s="118"/>
      <c r="M84" s="118"/>
      <c r="N84" s="1">
        <v>2000</v>
      </c>
      <c r="O84" s="118"/>
      <c r="P84" s="118"/>
      <c r="Q84" s="118"/>
      <c r="R84" s="118"/>
      <c r="S84" s="118"/>
    </row>
    <row r="85" spans="1:19" x14ac:dyDescent="0.3">
      <c r="A85">
        <v>80</v>
      </c>
      <c r="B85" s="19">
        <v>46145</v>
      </c>
      <c r="C85" s="2" t="s">
        <v>72</v>
      </c>
      <c r="D85" s="122">
        <v>140.5</v>
      </c>
      <c r="E85" s="2">
        <v>475</v>
      </c>
      <c r="F85" s="118">
        <f>+D85*E85</f>
        <v>66737.5</v>
      </c>
      <c r="G85" s="3">
        <f t="shared" si="3"/>
        <v>911.11111111111109</v>
      </c>
      <c r="H85" s="3">
        <f t="shared" si="4"/>
        <v>1000</v>
      </c>
      <c r="I85" s="3">
        <f t="shared" si="5"/>
        <v>3240</v>
      </c>
      <c r="J85" s="126">
        <f>+F85+SUM(G85:I86)</f>
        <v>77039.722222222219</v>
      </c>
      <c r="K85" s="118">
        <f>+J85/D85</f>
        <v>548.32542506919731</v>
      </c>
      <c r="L85" s="123">
        <v>679.72</v>
      </c>
      <c r="M85" s="118">
        <f>+L85*D85</f>
        <v>95500.66</v>
      </c>
      <c r="N85" s="1">
        <v>1500</v>
      </c>
      <c r="O85" s="118">
        <f>+M85+N85+N86</f>
        <v>98500.66</v>
      </c>
      <c r="P85" s="118">
        <f>+O85-J85</f>
        <v>21460.937777777785</v>
      </c>
      <c r="Q85" s="118">
        <f>+O85/D85</f>
        <v>701.07231316725984</v>
      </c>
      <c r="R85" s="118">
        <f>+Q85-K85</f>
        <v>152.74688809806253</v>
      </c>
      <c r="S85" s="118">
        <f>+R85*D85</f>
        <v>21460.937777777785</v>
      </c>
    </row>
    <row r="86" spans="1:19" x14ac:dyDescent="0.3">
      <c r="A86">
        <v>81</v>
      </c>
      <c r="B86" s="19">
        <v>46145</v>
      </c>
      <c r="C86" s="2" t="s">
        <v>72</v>
      </c>
      <c r="D86" s="122"/>
      <c r="E86" s="2">
        <v>475</v>
      </c>
      <c r="F86" s="118"/>
      <c r="G86" s="3">
        <f t="shared" si="3"/>
        <v>911.11111111111109</v>
      </c>
      <c r="H86" s="3">
        <f t="shared" si="4"/>
        <v>1000</v>
      </c>
      <c r="I86" s="3">
        <f t="shared" si="5"/>
        <v>3240</v>
      </c>
      <c r="J86" s="122"/>
      <c r="K86" s="118"/>
      <c r="L86" s="123"/>
      <c r="M86" s="118"/>
      <c r="N86" s="1">
        <v>1500</v>
      </c>
      <c r="O86" s="118"/>
      <c r="P86" s="118"/>
      <c r="Q86" s="118"/>
      <c r="R86" s="118"/>
      <c r="S86" s="118"/>
    </row>
    <row r="87" spans="1:19" x14ac:dyDescent="0.3">
      <c r="A87">
        <v>82</v>
      </c>
      <c r="B87" s="19">
        <v>46145</v>
      </c>
      <c r="C87" s="2" t="s">
        <v>73</v>
      </c>
      <c r="D87" s="122">
        <v>333.5</v>
      </c>
      <c r="E87" s="2">
        <v>475</v>
      </c>
      <c r="F87" s="118">
        <f>+D87*E87</f>
        <v>158412.5</v>
      </c>
      <c r="G87" s="3">
        <f t="shared" si="3"/>
        <v>911.11111111111109</v>
      </c>
      <c r="H87" s="3">
        <f t="shared" si="4"/>
        <v>1000</v>
      </c>
      <c r="I87" s="3">
        <f t="shared" si="5"/>
        <v>3240</v>
      </c>
      <c r="J87" s="126">
        <f>+F87+SUM(G87:I90)</f>
        <v>179016.94444444444</v>
      </c>
      <c r="K87" s="118">
        <f>+J87/D87</f>
        <v>536.78244211227718</v>
      </c>
      <c r="L87" s="123">
        <v>585</v>
      </c>
      <c r="M87" s="118">
        <f>+L87*D87</f>
        <v>195097.5</v>
      </c>
      <c r="N87" s="1">
        <v>2400</v>
      </c>
      <c r="O87" s="118">
        <f>+M87+SUM(N87:N90)</f>
        <v>204697.5</v>
      </c>
      <c r="P87" s="118">
        <f>+O87-J87</f>
        <v>25680.555555555562</v>
      </c>
      <c r="Q87" s="118">
        <f>+O87/D87</f>
        <v>613.78560719640177</v>
      </c>
      <c r="R87" s="118">
        <f>+Q87-K87</f>
        <v>77.003165084124589</v>
      </c>
      <c r="S87" s="118">
        <f>+R87*D87</f>
        <v>25680.555555555551</v>
      </c>
    </row>
    <row r="88" spans="1:19" x14ac:dyDescent="0.3">
      <c r="A88">
        <v>83</v>
      </c>
      <c r="B88" s="19">
        <v>46145</v>
      </c>
      <c r="C88" s="2" t="s">
        <v>73</v>
      </c>
      <c r="D88" s="122"/>
      <c r="E88" s="2">
        <v>475</v>
      </c>
      <c r="F88" s="118"/>
      <c r="G88" s="3">
        <f t="shared" si="3"/>
        <v>911.11111111111109</v>
      </c>
      <c r="H88" s="3">
        <f t="shared" si="4"/>
        <v>1000</v>
      </c>
      <c r="I88" s="3">
        <f t="shared" si="5"/>
        <v>3240</v>
      </c>
      <c r="J88" s="122"/>
      <c r="K88" s="118"/>
      <c r="L88" s="123"/>
      <c r="M88" s="118"/>
      <c r="N88" s="1">
        <v>2400</v>
      </c>
      <c r="O88" s="118"/>
      <c r="P88" s="118"/>
      <c r="Q88" s="118"/>
      <c r="R88" s="118"/>
      <c r="S88" s="118"/>
    </row>
    <row r="89" spans="1:19" x14ac:dyDescent="0.3">
      <c r="A89">
        <v>84</v>
      </c>
      <c r="B89" s="19">
        <v>46145</v>
      </c>
      <c r="C89" s="2" t="s">
        <v>73</v>
      </c>
      <c r="D89" s="122"/>
      <c r="E89" s="2">
        <v>475</v>
      </c>
      <c r="F89" s="118"/>
      <c r="G89" s="3">
        <f t="shared" si="3"/>
        <v>911.11111111111109</v>
      </c>
      <c r="H89" s="3">
        <f t="shared" si="4"/>
        <v>1000</v>
      </c>
      <c r="I89" s="3">
        <f t="shared" si="5"/>
        <v>3240</v>
      </c>
      <c r="J89" s="122"/>
      <c r="K89" s="118"/>
      <c r="L89" s="123"/>
      <c r="M89" s="118"/>
      <c r="N89" s="1">
        <v>2400</v>
      </c>
      <c r="O89" s="118"/>
      <c r="P89" s="118"/>
      <c r="Q89" s="118"/>
      <c r="R89" s="118"/>
      <c r="S89" s="118"/>
    </row>
    <row r="90" spans="1:19" x14ac:dyDescent="0.3">
      <c r="A90">
        <v>85</v>
      </c>
      <c r="B90" s="19">
        <v>46145</v>
      </c>
      <c r="C90" s="2" t="s">
        <v>73</v>
      </c>
      <c r="D90" s="122"/>
      <c r="E90" s="2">
        <v>475</v>
      </c>
      <c r="F90" s="118"/>
      <c r="G90" s="3">
        <f t="shared" si="3"/>
        <v>911.11111111111109</v>
      </c>
      <c r="H90" s="3">
        <f t="shared" si="4"/>
        <v>1000</v>
      </c>
      <c r="I90" s="3">
        <f t="shared" si="5"/>
        <v>3240</v>
      </c>
      <c r="J90" s="122"/>
      <c r="K90" s="118"/>
      <c r="L90" s="123"/>
      <c r="M90" s="118"/>
      <c r="N90" s="1">
        <v>2400</v>
      </c>
      <c r="O90" s="118"/>
      <c r="P90" s="118"/>
      <c r="Q90" s="118"/>
      <c r="R90" s="118"/>
      <c r="S90" s="118"/>
    </row>
    <row r="91" spans="1:19" x14ac:dyDescent="0.3">
      <c r="A91">
        <v>86</v>
      </c>
      <c r="B91" s="19">
        <v>46145</v>
      </c>
      <c r="C91" s="2" t="s">
        <v>74</v>
      </c>
      <c r="D91" s="122">
        <v>231</v>
      </c>
      <c r="E91" s="2">
        <v>475</v>
      </c>
      <c r="F91" s="118">
        <f>+D91*E91</f>
        <v>109725</v>
      </c>
      <c r="G91" s="3">
        <f t="shared" si="3"/>
        <v>911.11111111111109</v>
      </c>
      <c r="H91" s="3">
        <f t="shared" si="4"/>
        <v>1000</v>
      </c>
      <c r="I91" s="3">
        <f t="shared" si="5"/>
        <v>3240</v>
      </c>
      <c r="J91" s="126">
        <f>+F91+SUM(G91:I93)</f>
        <v>125178.33333333333</v>
      </c>
      <c r="K91" s="118">
        <f>+J91/D91</f>
        <v>541.89754689754693</v>
      </c>
      <c r="L91" s="123">
        <v>585</v>
      </c>
      <c r="M91" s="118">
        <f>+L91*D91</f>
        <v>135135</v>
      </c>
      <c r="N91" s="1">
        <v>2400</v>
      </c>
      <c r="O91" s="118">
        <f>+M91+SUM(N91:N93)</f>
        <v>142335</v>
      </c>
      <c r="P91" s="118">
        <f>+O91-J91</f>
        <v>17156.666666666672</v>
      </c>
      <c r="Q91" s="118">
        <f>+O91/D91</f>
        <v>616.16883116883116</v>
      </c>
      <c r="R91" s="118">
        <f>+Q91-K91</f>
        <v>74.27128427128423</v>
      </c>
      <c r="S91" s="118">
        <f>+R91*D91</f>
        <v>17156.666666666657</v>
      </c>
    </row>
    <row r="92" spans="1:19" x14ac:dyDescent="0.3">
      <c r="A92">
        <v>87</v>
      </c>
      <c r="B92" s="19">
        <v>46145</v>
      </c>
      <c r="C92" s="2" t="s">
        <v>74</v>
      </c>
      <c r="D92" s="122"/>
      <c r="E92" s="2">
        <v>475</v>
      </c>
      <c r="F92" s="118"/>
      <c r="G92" s="3">
        <f t="shared" si="3"/>
        <v>911.11111111111109</v>
      </c>
      <c r="H92" s="3">
        <f t="shared" si="4"/>
        <v>1000</v>
      </c>
      <c r="I92" s="3">
        <f t="shared" si="5"/>
        <v>3240</v>
      </c>
      <c r="J92" s="126"/>
      <c r="K92" s="118"/>
      <c r="L92" s="123"/>
      <c r="M92" s="118"/>
      <c r="N92" s="1">
        <v>2400</v>
      </c>
      <c r="O92" s="118"/>
      <c r="P92" s="118"/>
      <c r="Q92" s="118"/>
      <c r="R92" s="118"/>
      <c r="S92" s="118"/>
    </row>
    <row r="93" spans="1:19" x14ac:dyDescent="0.3">
      <c r="A93">
        <v>88</v>
      </c>
      <c r="B93" s="19">
        <v>46145</v>
      </c>
      <c r="C93" s="2" t="s">
        <v>74</v>
      </c>
      <c r="D93" s="122"/>
      <c r="E93" s="2">
        <v>475</v>
      </c>
      <c r="F93" s="118"/>
      <c r="G93" s="3">
        <f t="shared" si="3"/>
        <v>911.11111111111109</v>
      </c>
      <c r="H93" s="3">
        <f t="shared" si="4"/>
        <v>1000</v>
      </c>
      <c r="I93" s="3">
        <f t="shared" si="5"/>
        <v>3240</v>
      </c>
      <c r="J93" s="126"/>
      <c r="K93" s="118"/>
      <c r="L93" s="123"/>
      <c r="M93" s="118"/>
      <c r="N93" s="1">
        <v>2400</v>
      </c>
      <c r="O93" s="118"/>
      <c r="P93" s="118"/>
      <c r="Q93" s="118"/>
      <c r="R93" s="118"/>
      <c r="S93" s="118"/>
    </row>
    <row r="94" spans="1:19" x14ac:dyDescent="0.3">
      <c r="A94">
        <v>89</v>
      </c>
      <c r="B94" s="19">
        <v>46145</v>
      </c>
      <c r="C94" s="2" t="s">
        <v>75</v>
      </c>
      <c r="D94" s="122">
        <v>225</v>
      </c>
      <c r="E94" s="2">
        <v>475</v>
      </c>
      <c r="F94" s="118">
        <f>+D94*E94</f>
        <v>106875</v>
      </c>
      <c r="G94" s="3">
        <f t="shared" si="3"/>
        <v>911.11111111111109</v>
      </c>
      <c r="H94" s="3">
        <f t="shared" si="4"/>
        <v>1000</v>
      </c>
      <c r="I94" s="3">
        <f t="shared" si="5"/>
        <v>3240</v>
      </c>
      <c r="J94" s="126">
        <f>+F94+SUM(G94:I96)</f>
        <v>122328.33333333333</v>
      </c>
      <c r="K94" s="118">
        <f>+J94/D94</f>
        <v>543.68148148148146</v>
      </c>
      <c r="L94" s="123">
        <f>133000/225</f>
        <v>591.11111111111109</v>
      </c>
      <c r="M94" s="118">
        <f>+L94*D94</f>
        <v>133000</v>
      </c>
      <c r="N94" s="1">
        <v>2400</v>
      </c>
      <c r="O94" s="118">
        <f>+M94+SUM(N94:N96)</f>
        <v>140200</v>
      </c>
      <c r="P94" s="118">
        <f>+O94-J94</f>
        <v>17871.666666666672</v>
      </c>
      <c r="Q94" s="118">
        <f>+O94/D94</f>
        <v>623.11111111111109</v>
      </c>
      <c r="R94" s="118">
        <f>+Q94-K94</f>
        <v>79.42962962962963</v>
      </c>
      <c r="S94" s="118">
        <f>+R94*D94</f>
        <v>17871.666666666668</v>
      </c>
    </row>
    <row r="95" spans="1:19" x14ac:dyDescent="0.3">
      <c r="A95">
        <v>90</v>
      </c>
      <c r="B95" s="19">
        <v>46145</v>
      </c>
      <c r="C95" s="2" t="s">
        <v>75</v>
      </c>
      <c r="D95" s="122"/>
      <c r="E95" s="2">
        <v>475</v>
      </c>
      <c r="F95" s="118"/>
      <c r="G95" s="3">
        <f t="shared" si="3"/>
        <v>911.11111111111109</v>
      </c>
      <c r="H95" s="3">
        <f t="shared" si="4"/>
        <v>1000</v>
      </c>
      <c r="I95" s="3">
        <f t="shared" si="5"/>
        <v>3240</v>
      </c>
      <c r="J95" s="126"/>
      <c r="K95" s="118"/>
      <c r="L95" s="123"/>
      <c r="M95" s="118"/>
      <c r="N95" s="1">
        <v>2400</v>
      </c>
      <c r="O95" s="118"/>
      <c r="P95" s="118"/>
      <c r="Q95" s="118"/>
      <c r="R95" s="118"/>
      <c r="S95" s="118"/>
    </row>
    <row r="96" spans="1:19" x14ac:dyDescent="0.3">
      <c r="A96">
        <v>91</v>
      </c>
      <c r="B96" s="19">
        <v>46145</v>
      </c>
      <c r="C96" s="2" t="s">
        <v>75</v>
      </c>
      <c r="D96" s="122"/>
      <c r="E96" s="2">
        <v>475</v>
      </c>
      <c r="F96" s="118"/>
      <c r="G96" s="3">
        <f t="shared" si="3"/>
        <v>911.11111111111109</v>
      </c>
      <c r="H96" s="3">
        <f t="shared" si="4"/>
        <v>1000</v>
      </c>
      <c r="I96" s="3">
        <f t="shared" si="5"/>
        <v>3240</v>
      </c>
      <c r="J96" s="126"/>
      <c r="K96" s="118"/>
      <c r="L96" s="123"/>
      <c r="M96" s="118"/>
      <c r="N96" s="1">
        <v>2400</v>
      </c>
      <c r="O96" s="118"/>
      <c r="P96" s="118"/>
      <c r="Q96" s="118"/>
      <c r="R96" s="118"/>
      <c r="S96" s="118"/>
    </row>
    <row r="97" spans="1:19" x14ac:dyDescent="0.3">
      <c r="A97">
        <v>92</v>
      </c>
      <c r="B97" s="19">
        <v>46145</v>
      </c>
      <c r="C97" s="2" t="s">
        <v>76</v>
      </c>
      <c r="D97" s="14">
        <v>69</v>
      </c>
      <c r="E97" s="2">
        <v>475</v>
      </c>
      <c r="F97" s="15">
        <f>+D97*E97</f>
        <v>32775</v>
      </c>
      <c r="G97" s="3">
        <f t="shared" si="3"/>
        <v>911.11111111111109</v>
      </c>
      <c r="H97" s="3">
        <f t="shared" si="4"/>
        <v>1000</v>
      </c>
      <c r="I97" s="3">
        <f t="shared" si="5"/>
        <v>3240</v>
      </c>
      <c r="J97" s="18">
        <f>+SUM(F97:I97)</f>
        <v>37926.111111111109</v>
      </c>
      <c r="K97" s="15">
        <f>+J97/D97</f>
        <v>549.65378421900164</v>
      </c>
      <c r="L97" s="41">
        <f>41000/69</f>
        <v>594.20289855072463</v>
      </c>
      <c r="M97" s="15">
        <f>+L97*D97</f>
        <v>41000</v>
      </c>
      <c r="N97" s="1">
        <v>2400</v>
      </c>
      <c r="O97" s="15">
        <f>+M97+N97</f>
        <v>43400</v>
      </c>
      <c r="P97" s="15">
        <f>+O97-J97</f>
        <v>5473.8888888888905</v>
      </c>
      <c r="Q97" s="15">
        <f>+O97/D97</f>
        <v>628.98550724637676</v>
      </c>
      <c r="R97" s="15">
        <f>+Q97-K97</f>
        <v>79.331723027375119</v>
      </c>
      <c r="S97" s="15">
        <f>+R97*D97</f>
        <v>5473.8888888888832</v>
      </c>
    </row>
    <row r="98" spans="1:19" x14ac:dyDescent="0.3">
      <c r="B98" s="19"/>
      <c r="D98" s="14"/>
      <c r="F98" s="15"/>
      <c r="J98" s="18"/>
      <c r="K98" s="15"/>
      <c r="L98" s="41"/>
      <c r="M98" s="15"/>
      <c r="O98" s="15"/>
    </row>
    <row r="99" spans="1:19" x14ac:dyDescent="0.3">
      <c r="B99" s="19"/>
      <c r="D99" s="14"/>
      <c r="F99" s="15"/>
      <c r="J99" s="18"/>
      <c r="K99" s="15"/>
      <c r="L99" s="41"/>
      <c r="M99" s="15"/>
      <c r="O99" s="15"/>
    </row>
    <row r="100" spans="1:19" x14ac:dyDescent="0.3">
      <c r="B100" s="19"/>
      <c r="D100" s="14"/>
      <c r="F100" s="15"/>
      <c r="J100" s="18"/>
      <c r="K100" s="15"/>
      <c r="L100" s="41"/>
      <c r="M100" s="15"/>
      <c r="O100" s="15"/>
    </row>
    <row r="101" spans="1:19" x14ac:dyDescent="0.3">
      <c r="B101" s="19"/>
      <c r="D101" s="14"/>
      <c r="F101" s="15"/>
      <c r="J101" s="18"/>
      <c r="K101" s="15"/>
      <c r="L101" s="41"/>
      <c r="M101" s="15"/>
      <c r="O101" s="15"/>
    </row>
    <row r="102" spans="1:19" x14ac:dyDescent="0.3">
      <c r="B102" s="19"/>
      <c r="D102" s="14"/>
      <c r="F102" s="15"/>
      <c r="J102" s="18"/>
      <c r="K102" s="15"/>
      <c r="L102" s="41"/>
      <c r="M102" s="15"/>
      <c r="O102" s="15"/>
    </row>
    <row r="103" spans="1:19" x14ac:dyDescent="0.3">
      <c r="B103" s="19"/>
      <c r="D103" s="14"/>
      <c r="F103" s="15"/>
      <c r="J103" s="18"/>
      <c r="K103" s="15"/>
      <c r="L103" s="41"/>
      <c r="M103" s="15"/>
      <c r="O103" s="15"/>
    </row>
    <row r="104" spans="1:19" x14ac:dyDescent="0.3">
      <c r="B104" s="19"/>
      <c r="D104" s="14"/>
      <c r="F104" s="15"/>
      <c r="J104" s="18"/>
      <c r="K104" s="15"/>
      <c r="L104" s="41"/>
      <c r="M104" s="15"/>
      <c r="O104" s="15"/>
    </row>
    <row r="105" spans="1:19" x14ac:dyDescent="0.3">
      <c r="B105" s="19"/>
      <c r="D105" s="14"/>
      <c r="F105" s="15"/>
      <c r="J105" s="18"/>
      <c r="K105" s="15"/>
      <c r="L105" s="41"/>
      <c r="M105" s="15"/>
      <c r="O105" s="15"/>
    </row>
    <row r="106" spans="1:19" x14ac:dyDescent="0.3">
      <c r="B106" s="19"/>
      <c r="D106" s="14"/>
      <c r="F106" s="15"/>
      <c r="J106" s="18"/>
      <c r="K106" s="15"/>
      <c r="L106" s="41"/>
      <c r="M106" s="15"/>
      <c r="O106" s="15"/>
    </row>
    <row r="107" spans="1:19" x14ac:dyDescent="0.3">
      <c r="B107" s="19"/>
      <c r="D107" s="14"/>
      <c r="F107" s="15"/>
      <c r="J107" s="18"/>
      <c r="K107" s="15"/>
      <c r="L107" s="41"/>
      <c r="M107" s="15"/>
      <c r="O107" s="15"/>
    </row>
    <row r="108" spans="1:19" x14ac:dyDescent="0.3">
      <c r="B108" s="19"/>
      <c r="D108" s="14"/>
      <c r="F108" s="15"/>
      <c r="J108" s="18"/>
      <c r="K108" s="15"/>
      <c r="L108" s="41"/>
      <c r="M108" s="15"/>
      <c r="O108" s="15"/>
    </row>
    <row r="109" spans="1:19" x14ac:dyDescent="0.3">
      <c r="B109" s="19"/>
      <c r="D109" s="14"/>
      <c r="F109" s="15"/>
      <c r="J109" s="18"/>
      <c r="K109" s="15"/>
      <c r="L109" s="41"/>
      <c r="M109" s="15"/>
      <c r="O109" s="15"/>
    </row>
    <row r="110" spans="1:19" x14ac:dyDescent="0.3">
      <c r="B110" s="19"/>
      <c r="D110" s="14"/>
      <c r="F110" s="15"/>
      <c r="J110" s="18"/>
      <c r="K110" s="15"/>
      <c r="L110" s="41"/>
      <c r="M110" s="15"/>
      <c r="O110" s="15"/>
    </row>
    <row r="111" spans="1:19" x14ac:dyDescent="0.3">
      <c r="B111" s="19"/>
      <c r="D111" s="14"/>
      <c r="F111" s="15"/>
      <c r="J111" s="18"/>
      <c r="K111" s="15"/>
      <c r="L111" s="41"/>
      <c r="M111" s="15"/>
      <c r="O111" s="15"/>
    </row>
    <row r="112" spans="1:19" x14ac:dyDescent="0.3">
      <c r="B112" s="19"/>
      <c r="D112" s="14"/>
      <c r="F112" s="15"/>
      <c r="J112" s="18"/>
      <c r="K112" s="15"/>
      <c r="L112" s="41"/>
      <c r="M112" s="15"/>
      <c r="O112" s="15"/>
    </row>
    <row r="113" spans="2:21" x14ac:dyDescent="0.3">
      <c r="B113" s="19"/>
      <c r="D113" s="14"/>
      <c r="F113" s="15"/>
      <c r="J113" s="18"/>
      <c r="K113" s="15"/>
      <c r="L113" s="41"/>
      <c r="M113" s="15"/>
      <c r="O113" s="15"/>
    </row>
    <row r="114" spans="2:21" x14ac:dyDescent="0.3">
      <c r="B114" s="19"/>
      <c r="D114" s="14"/>
      <c r="F114" s="15"/>
      <c r="J114" s="18"/>
      <c r="K114" s="15"/>
      <c r="L114" s="41"/>
      <c r="M114" s="15"/>
      <c r="O114" s="15"/>
    </row>
    <row r="115" spans="2:21" x14ac:dyDescent="0.3">
      <c r="B115" s="19"/>
      <c r="D115" s="14"/>
      <c r="F115" s="15"/>
      <c r="J115" s="18"/>
      <c r="K115" s="15"/>
      <c r="L115" s="41"/>
      <c r="M115" s="15"/>
      <c r="O115" s="15"/>
    </row>
    <row r="116" spans="2:21" x14ac:dyDescent="0.3">
      <c r="B116" s="19"/>
      <c r="D116" s="14"/>
      <c r="F116" s="15"/>
      <c r="J116" s="14"/>
      <c r="K116" s="15"/>
      <c r="L116" s="41"/>
      <c r="M116" s="15"/>
      <c r="O116" s="15"/>
    </row>
    <row r="117" spans="2:21" x14ac:dyDescent="0.3">
      <c r="B117" s="19"/>
      <c r="D117" s="14"/>
      <c r="F117" s="15"/>
      <c r="J117" s="14"/>
      <c r="K117" s="15"/>
      <c r="L117" s="41"/>
      <c r="M117" s="15"/>
      <c r="O117" s="15"/>
    </row>
    <row r="118" spans="2:21" x14ac:dyDescent="0.3">
      <c r="B118" s="19"/>
      <c r="D118" s="14"/>
      <c r="F118" s="15"/>
      <c r="J118" s="14"/>
      <c r="K118" s="15"/>
      <c r="M118" s="15"/>
      <c r="O118" s="15"/>
    </row>
    <row r="119" spans="2:21" ht="15" thickBot="1" x14ac:dyDescent="0.35">
      <c r="B119" s="13"/>
    </row>
    <row r="120" spans="2:21" s="1" customFormat="1" ht="15.6" thickTop="1" thickBot="1" x14ac:dyDescent="0.35">
      <c r="C120" s="3" t="s">
        <v>41</v>
      </c>
      <c r="D120" s="3">
        <f>+SUM(D6:D119)</f>
        <v>6541.5</v>
      </c>
      <c r="E120" s="3">
        <v>475</v>
      </c>
      <c r="F120" s="3">
        <f>+SUM(F6:F119)</f>
        <v>3107212.5</v>
      </c>
      <c r="G120" s="3">
        <f>+SUM(G6:G119)</f>
        <v>83822.222222222103</v>
      </c>
      <c r="H120" s="3">
        <f>+SUM(H6:H119)</f>
        <v>92000</v>
      </c>
      <c r="I120" s="3">
        <f>+SUM(I6:I119)</f>
        <v>298080</v>
      </c>
      <c r="J120" s="31">
        <f>+SUM(J6:J119)</f>
        <v>3581114.7222222215</v>
      </c>
      <c r="K120" s="3"/>
      <c r="L120" s="3"/>
      <c r="M120" s="3">
        <f>+SUM(M6:M119)</f>
        <v>3928957.5659999996</v>
      </c>
      <c r="N120" s="3">
        <f>+SUM(N6:N119)</f>
        <v>242400</v>
      </c>
      <c r="O120" s="31">
        <f>+SUM(O6:O119)</f>
        <v>4165957.5659999996</v>
      </c>
      <c r="P120" s="32">
        <f>+SUM(P6:P119)</f>
        <v>584842.84377777774</v>
      </c>
      <c r="Q120" s="3"/>
      <c r="R120" s="3"/>
      <c r="S120" s="3">
        <f>+SUM(S6:S119)</f>
        <v>584842.84377777774</v>
      </c>
    </row>
    <row r="121" spans="2:21" ht="15.6" thickTop="1" thickBot="1" x14ac:dyDescent="0.35">
      <c r="D121" s="3"/>
      <c r="E121" s="3"/>
      <c r="M121" s="3"/>
      <c r="N121" s="3"/>
      <c r="O121" s="3"/>
      <c r="U121" t="s">
        <v>39</v>
      </c>
    </row>
    <row r="122" spans="2:21" ht="15.6" thickTop="1" thickBot="1" x14ac:dyDescent="0.35">
      <c r="C122" s="2" t="s">
        <v>37</v>
      </c>
      <c r="D122" s="17">
        <f>+('Lot 1 weight list'!K27-'Lot 1 sale Seperate'!D120)*0.97</f>
        <v>-318.64499999999998</v>
      </c>
      <c r="E122" s="17">
        <v>475</v>
      </c>
      <c r="F122" s="3">
        <f>+'Lot 1 weight list'!K29-'Lot 1 sale Seperate'!F120</f>
        <v>-156037.5</v>
      </c>
      <c r="G122" s="3">
        <f>+B1-G120</f>
        <v>-1822.2222222221026</v>
      </c>
      <c r="H122" s="3">
        <f>+D1-H120</f>
        <v>-2000</v>
      </c>
      <c r="I122" s="3">
        <f>+H3-I120</f>
        <v>-6480</v>
      </c>
      <c r="J122" s="31">
        <f>+SUM(F122:I122)</f>
        <v>-166339.7222222221</v>
      </c>
      <c r="K122" s="3">
        <f>+J122/D122</f>
        <v>522.02206914347346</v>
      </c>
      <c r="L122" s="15">
        <v>600</v>
      </c>
      <c r="M122" s="1">
        <f>+L122*D122</f>
        <v>-191187</v>
      </c>
      <c r="N122" s="3">
        <f>+K131</f>
        <v>0</v>
      </c>
      <c r="O122" s="35">
        <f>+M122+N122</f>
        <v>-191187</v>
      </c>
      <c r="P122" s="36">
        <f>+O122-J122</f>
        <v>-24847.277777777897</v>
      </c>
      <c r="S122" s="15">
        <f>+U122-S120</f>
        <v>15157.156222222256</v>
      </c>
      <c r="U122" s="1">
        <v>600000</v>
      </c>
    </row>
    <row r="123" spans="2:21" ht="15" thickTop="1" x14ac:dyDescent="0.3"/>
    <row r="124" spans="2:21" ht="16.2" x14ac:dyDescent="0.45">
      <c r="F124" s="25">
        <f>+SUM(F120:F122)</f>
        <v>2951175</v>
      </c>
      <c r="G124" s="25">
        <f>+SUM(G120:G122)</f>
        <v>82000</v>
      </c>
      <c r="H124" s="25">
        <f>+SUM(H120:H122)</f>
        <v>90000</v>
      </c>
      <c r="I124" s="25">
        <f>+SUM(I120:I122)</f>
        <v>291600</v>
      </c>
      <c r="J124" s="25">
        <f>+SUM(J120:J122)</f>
        <v>3414774.9999999995</v>
      </c>
      <c r="M124" s="25">
        <f>+SUM(M120:M122)</f>
        <v>3737770.5659999996</v>
      </c>
      <c r="N124" s="25">
        <f>+SUM(N120:N122)</f>
        <v>242400</v>
      </c>
      <c r="O124" s="25">
        <f>+SUM(O120:O122)</f>
        <v>3974770.5659999996</v>
      </c>
      <c r="P124" s="25">
        <f>+SUM(P120:P122)</f>
        <v>559995.56599999988</v>
      </c>
    </row>
    <row r="125" spans="2:21" x14ac:dyDescent="0.3">
      <c r="I125" s="3" t="s">
        <v>27</v>
      </c>
      <c r="J125" s="3">
        <v>90</v>
      </c>
      <c r="N125" s="1" t="s">
        <v>27</v>
      </c>
      <c r="O125" s="1">
        <v>90</v>
      </c>
    </row>
    <row r="126" spans="2:21" ht="16.2" x14ac:dyDescent="0.45">
      <c r="E126" s="17"/>
      <c r="I126" s="3" t="s">
        <v>40</v>
      </c>
      <c r="J126" s="25">
        <f>+J124/J125</f>
        <v>37941.944444444438</v>
      </c>
      <c r="N126" s="3" t="s">
        <v>40</v>
      </c>
      <c r="O126" s="25">
        <f>+O124/O125</f>
        <v>44164.117399999996</v>
      </c>
    </row>
    <row r="127" spans="2:21" x14ac:dyDescent="0.3">
      <c r="D127" s="2" t="s">
        <v>42</v>
      </c>
      <c r="E127" s="2" t="s">
        <v>43</v>
      </c>
    </row>
    <row r="128" spans="2:21" x14ac:dyDescent="0.3">
      <c r="E128" s="2" t="s">
        <v>44</v>
      </c>
    </row>
    <row r="130" spans="1:21" s="14" customFormat="1" x14ac:dyDescent="0.3">
      <c r="A130"/>
      <c r="B130"/>
      <c r="C130" s="2"/>
      <c r="D130" s="2"/>
      <c r="E130" s="2"/>
      <c r="F130" s="3"/>
      <c r="G130" s="26"/>
      <c r="H130" s="21"/>
      <c r="I130" s="3"/>
      <c r="J130" s="3"/>
      <c r="K130" s="3"/>
      <c r="L130" s="15"/>
      <c r="M130" s="1"/>
      <c r="N130" s="1"/>
      <c r="O130" s="1"/>
      <c r="P130" s="15"/>
      <c r="Q130" s="15"/>
      <c r="R130" s="15"/>
      <c r="S130" s="15"/>
      <c r="T130"/>
      <c r="U130"/>
    </row>
    <row r="131" spans="1:21" s="14" customFormat="1" x14ac:dyDescent="0.3">
      <c r="A131"/>
      <c r="B131"/>
      <c r="C131" s="2"/>
      <c r="D131" s="2"/>
      <c r="E131" s="2"/>
      <c r="F131" s="3"/>
      <c r="G131" s="26"/>
      <c r="H131" s="21"/>
      <c r="I131" s="3"/>
      <c r="J131" s="3"/>
      <c r="K131" s="3"/>
      <c r="L131" s="15"/>
      <c r="M131" s="1"/>
      <c r="N131" s="1"/>
      <c r="O131" s="1"/>
      <c r="P131" s="15"/>
      <c r="Q131" s="15"/>
      <c r="R131" s="15"/>
      <c r="S131" s="15"/>
      <c r="T131"/>
      <c r="U131"/>
    </row>
    <row r="137" spans="1:21" x14ac:dyDescent="0.3">
      <c r="G137" s="3" t="s">
        <v>69</v>
      </c>
    </row>
    <row r="138" spans="1:21" x14ac:dyDescent="0.3">
      <c r="G138" s="20">
        <v>90</v>
      </c>
      <c r="H138" s="27">
        <v>46126</v>
      </c>
      <c r="I138" s="27">
        <v>46162</v>
      </c>
      <c r="J138" s="15">
        <f>+I138-H138</f>
        <v>36</v>
      </c>
      <c r="K138" s="3">
        <v>90</v>
      </c>
      <c r="L138" s="15">
        <f>+G138*J138*K138</f>
        <v>291600</v>
      </c>
    </row>
    <row r="139" spans="1:21" x14ac:dyDescent="0.3">
      <c r="G139" s="3">
        <v>80</v>
      </c>
      <c r="H139" s="27">
        <v>46142</v>
      </c>
      <c r="I139" s="27">
        <v>46162</v>
      </c>
      <c r="J139" s="15">
        <f>+I139-H139</f>
        <v>20</v>
      </c>
      <c r="K139" s="3">
        <v>90</v>
      </c>
      <c r="L139" s="15">
        <f>+G139*J139*K139</f>
        <v>144000</v>
      </c>
    </row>
    <row r="140" spans="1:21" ht="16.2" x14ac:dyDescent="0.45">
      <c r="K140" s="25" t="s">
        <v>70</v>
      </c>
      <c r="L140" s="38">
        <f>+L138+L139</f>
        <v>435600</v>
      </c>
    </row>
    <row r="141" spans="1:21" x14ac:dyDescent="0.3">
      <c r="K141" s="3" t="s">
        <v>71</v>
      </c>
      <c r="L141" s="15">
        <f>+N120</f>
        <v>242400</v>
      </c>
    </row>
    <row r="142" spans="1:21" ht="16.2" x14ac:dyDescent="0.45">
      <c r="K142" s="39" t="s">
        <v>37</v>
      </c>
      <c r="L142" s="40">
        <f>+L140-L141</f>
        <v>193200</v>
      </c>
    </row>
    <row r="145" spans="9:10" x14ac:dyDescent="0.3">
      <c r="I145" s="3">
        <v>8000</v>
      </c>
    </row>
    <row r="146" spans="9:10" x14ac:dyDescent="0.3">
      <c r="I146" s="3">
        <v>3000</v>
      </c>
    </row>
    <row r="147" spans="9:10" x14ac:dyDescent="0.3">
      <c r="I147" s="3">
        <v>9600</v>
      </c>
    </row>
    <row r="148" spans="9:10" x14ac:dyDescent="0.3">
      <c r="I148" s="3">
        <v>7200</v>
      </c>
    </row>
    <row r="149" spans="9:10" x14ac:dyDescent="0.3">
      <c r="I149" s="3">
        <v>3000</v>
      </c>
    </row>
    <row r="150" spans="9:10" x14ac:dyDescent="0.3">
      <c r="I150" s="3">
        <v>7200</v>
      </c>
    </row>
    <row r="151" spans="9:10" x14ac:dyDescent="0.3">
      <c r="I151" s="3">
        <v>2400</v>
      </c>
    </row>
    <row r="152" spans="9:10" x14ac:dyDescent="0.3">
      <c r="I152" s="5">
        <f>+SUM(I145:I151)</f>
        <v>40400</v>
      </c>
    </row>
    <row r="155" spans="9:10" x14ac:dyDescent="0.3">
      <c r="J155" s="3">
        <v>40</v>
      </c>
    </row>
    <row r="156" spans="9:10" x14ac:dyDescent="0.3">
      <c r="J156" s="3">
        <v>120</v>
      </c>
    </row>
    <row r="157" spans="9:10" x14ac:dyDescent="0.3">
      <c r="J157" s="3">
        <v>10</v>
      </c>
    </row>
    <row r="158" spans="9:10" x14ac:dyDescent="0.3">
      <c r="J158" s="3">
        <f>+J155*J156*J157</f>
        <v>48000</v>
      </c>
    </row>
  </sheetData>
  <mergeCells count="307">
    <mergeCell ref="D9:D10"/>
    <mergeCell ref="F9:F10"/>
    <mergeCell ref="J9:J10"/>
    <mergeCell ref="K9:K10"/>
    <mergeCell ref="L9:L10"/>
    <mergeCell ref="D7:D8"/>
    <mergeCell ref="F7:F8"/>
    <mergeCell ref="J7:J8"/>
    <mergeCell ref="K7:K8"/>
    <mergeCell ref="L7:L8"/>
    <mergeCell ref="M9:M10"/>
    <mergeCell ref="O9:O10"/>
    <mergeCell ref="P9:P10"/>
    <mergeCell ref="Q9:Q10"/>
    <mergeCell ref="R9:R10"/>
    <mergeCell ref="S9:S10"/>
    <mergeCell ref="O7:O8"/>
    <mergeCell ref="P7:P8"/>
    <mergeCell ref="Q7:Q8"/>
    <mergeCell ref="R7:R8"/>
    <mergeCell ref="S7:S8"/>
    <mergeCell ref="M7:M8"/>
    <mergeCell ref="D16:D17"/>
    <mergeCell ref="F16:F17"/>
    <mergeCell ref="J16:J17"/>
    <mergeCell ref="K16:K17"/>
    <mergeCell ref="L16:L17"/>
    <mergeCell ref="D11:D15"/>
    <mergeCell ref="F11:F15"/>
    <mergeCell ref="J11:J15"/>
    <mergeCell ref="K11:K15"/>
    <mergeCell ref="L11:L15"/>
    <mergeCell ref="M16:M17"/>
    <mergeCell ref="O16:O17"/>
    <mergeCell ref="P16:P17"/>
    <mergeCell ref="Q16:Q17"/>
    <mergeCell ref="R16:R17"/>
    <mergeCell ref="S16:S17"/>
    <mergeCell ref="O11:O15"/>
    <mergeCell ref="P11:P15"/>
    <mergeCell ref="Q11:Q15"/>
    <mergeCell ref="R11:R15"/>
    <mergeCell ref="S11:S15"/>
    <mergeCell ref="M11:M15"/>
    <mergeCell ref="S18:S19"/>
    <mergeCell ref="D20:D21"/>
    <mergeCell ref="F20:F21"/>
    <mergeCell ref="J20:J21"/>
    <mergeCell ref="K20:K21"/>
    <mergeCell ref="L20:L21"/>
    <mergeCell ref="D18:D19"/>
    <mergeCell ref="F18:F19"/>
    <mergeCell ref="J18:J19"/>
    <mergeCell ref="K18:K19"/>
    <mergeCell ref="L18:L19"/>
    <mergeCell ref="M18:M19"/>
    <mergeCell ref="D22:D23"/>
    <mergeCell ref="F22:F23"/>
    <mergeCell ref="J22:J23"/>
    <mergeCell ref="K22:K23"/>
    <mergeCell ref="L22:L23"/>
    <mergeCell ref="O18:O19"/>
    <mergeCell ref="P18:P19"/>
    <mergeCell ref="Q18:Q19"/>
    <mergeCell ref="R18:R19"/>
    <mergeCell ref="M22:M23"/>
    <mergeCell ref="O22:O23"/>
    <mergeCell ref="P22:P23"/>
    <mergeCell ref="Q22:Q23"/>
    <mergeCell ref="R22:R23"/>
    <mergeCell ref="S22:S23"/>
    <mergeCell ref="O20:O21"/>
    <mergeCell ref="P20:P21"/>
    <mergeCell ref="Q20:Q21"/>
    <mergeCell ref="R20:R21"/>
    <mergeCell ref="S20:S21"/>
    <mergeCell ref="D27:D32"/>
    <mergeCell ref="F27:F32"/>
    <mergeCell ref="J27:J32"/>
    <mergeCell ref="K27:K32"/>
    <mergeCell ref="L27:L32"/>
    <mergeCell ref="D24:D25"/>
    <mergeCell ref="F24:F25"/>
    <mergeCell ref="J24:J25"/>
    <mergeCell ref="K24:K25"/>
    <mergeCell ref="L24:L25"/>
    <mergeCell ref="M27:M32"/>
    <mergeCell ref="O27:O32"/>
    <mergeCell ref="P27:P32"/>
    <mergeCell ref="Q27:Q32"/>
    <mergeCell ref="R27:R32"/>
    <mergeCell ref="S27:S32"/>
    <mergeCell ref="O24:O25"/>
    <mergeCell ref="P24:P25"/>
    <mergeCell ref="Q24:Q25"/>
    <mergeCell ref="R24:R25"/>
    <mergeCell ref="S24:S25"/>
    <mergeCell ref="M24:M25"/>
    <mergeCell ref="D38:D39"/>
    <mergeCell ref="F38:F39"/>
    <mergeCell ref="J38:J39"/>
    <mergeCell ref="K38:K39"/>
    <mergeCell ref="L38:L39"/>
    <mergeCell ref="D34:D37"/>
    <mergeCell ref="F34:F37"/>
    <mergeCell ref="J34:J37"/>
    <mergeCell ref="K34:K37"/>
    <mergeCell ref="L34:L37"/>
    <mergeCell ref="M38:M39"/>
    <mergeCell ref="O38:O39"/>
    <mergeCell ref="P38:P39"/>
    <mergeCell ref="Q38:Q39"/>
    <mergeCell ref="R38:R39"/>
    <mergeCell ref="S38:S39"/>
    <mergeCell ref="O34:O37"/>
    <mergeCell ref="P34:P37"/>
    <mergeCell ref="Q34:Q37"/>
    <mergeCell ref="R34:R37"/>
    <mergeCell ref="S34:S37"/>
    <mergeCell ref="M34:M37"/>
    <mergeCell ref="D42:D44"/>
    <mergeCell ref="F42:F44"/>
    <mergeCell ref="J42:J44"/>
    <mergeCell ref="K42:K44"/>
    <mergeCell ref="L42:L44"/>
    <mergeCell ref="D40:D41"/>
    <mergeCell ref="F40:F41"/>
    <mergeCell ref="J40:J41"/>
    <mergeCell ref="K40:K41"/>
    <mergeCell ref="L40:L41"/>
    <mergeCell ref="O42:O44"/>
    <mergeCell ref="P42:P44"/>
    <mergeCell ref="Q42:Q44"/>
    <mergeCell ref="R42:R44"/>
    <mergeCell ref="M42:M44"/>
    <mergeCell ref="S42:S44"/>
    <mergeCell ref="O40:O41"/>
    <mergeCell ref="P40:P41"/>
    <mergeCell ref="Q40:Q41"/>
    <mergeCell ref="R40:R41"/>
    <mergeCell ref="S40:S41"/>
    <mergeCell ref="M40:M41"/>
    <mergeCell ref="S45:S49"/>
    <mergeCell ref="D51:D53"/>
    <mergeCell ref="F51:F53"/>
    <mergeCell ref="J51:J53"/>
    <mergeCell ref="K51:K53"/>
    <mergeCell ref="L51:L53"/>
    <mergeCell ref="M51:M53"/>
    <mergeCell ref="O51:O53"/>
    <mergeCell ref="P51:P53"/>
    <mergeCell ref="Q51:Q53"/>
    <mergeCell ref="O45:O49"/>
    <mergeCell ref="R45:R49"/>
    <mergeCell ref="Q45:Q49"/>
    <mergeCell ref="P45:P49"/>
    <mergeCell ref="F45:F49"/>
    <mergeCell ref="D45:D49"/>
    <mergeCell ref="J45:J49"/>
    <mergeCell ref="K45:K49"/>
    <mergeCell ref="L45:L49"/>
    <mergeCell ref="M45:M49"/>
    <mergeCell ref="R51:R53"/>
    <mergeCell ref="S51:S53"/>
    <mergeCell ref="D54:D57"/>
    <mergeCell ref="F54:F57"/>
    <mergeCell ref="J54:J57"/>
    <mergeCell ref="K54:K57"/>
    <mergeCell ref="L54:L57"/>
    <mergeCell ref="M54:M57"/>
    <mergeCell ref="O54:O57"/>
    <mergeCell ref="P54:P57"/>
    <mergeCell ref="Q54:Q57"/>
    <mergeCell ref="R54:R57"/>
    <mergeCell ref="S54:S57"/>
    <mergeCell ref="D58:D59"/>
    <mergeCell ref="F58:F59"/>
    <mergeCell ref="J58:J59"/>
    <mergeCell ref="K58:K59"/>
    <mergeCell ref="L58:L59"/>
    <mergeCell ref="M58:M59"/>
    <mergeCell ref="O58:O59"/>
    <mergeCell ref="D62:D67"/>
    <mergeCell ref="F62:F67"/>
    <mergeCell ref="J62:J67"/>
    <mergeCell ref="K62:K67"/>
    <mergeCell ref="L62:L67"/>
    <mergeCell ref="P58:P59"/>
    <mergeCell ref="Q58:Q59"/>
    <mergeCell ref="R58:R59"/>
    <mergeCell ref="S58:S59"/>
    <mergeCell ref="D60:D61"/>
    <mergeCell ref="F60:F61"/>
    <mergeCell ref="J60:J61"/>
    <mergeCell ref="K60:K61"/>
    <mergeCell ref="L60:L61"/>
    <mergeCell ref="M60:M61"/>
    <mergeCell ref="M62:M67"/>
    <mergeCell ref="O62:O67"/>
    <mergeCell ref="P62:P67"/>
    <mergeCell ref="Q62:Q67"/>
    <mergeCell ref="R62:R67"/>
    <mergeCell ref="S62:S67"/>
    <mergeCell ref="O60:O61"/>
    <mergeCell ref="P60:P61"/>
    <mergeCell ref="Q60:Q61"/>
    <mergeCell ref="R60:R61"/>
    <mergeCell ref="S60:S61"/>
    <mergeCell ref="D71:D73"/>
    <mergeCell ref="F71:F73"/>
    <mergeCell ref="J71:J73"/>
    <mergeCell ref="K71:K73"/>
    <mergeCell ref="L71:L73"/>
    <mergeCell ref="D69:D70"/>
    <mergeCell ref="F69:F70"/>
    <mergeCell ref="J69:J70"/>
    <mergeCell ref="K69:K70"/>
    <mergeCell ref="L69:L70"/>
    <mergeCell ref="M71:M73"/>
    <mergeCell ref="O71:O73"/>
    <mergeCell ref="P71:P73"/>
    <mergeCell ref="Q71:Q73"/>
    <mergeCell ref="R71:R73"/>
    <mergeCell ref="S71:S73"/>
    <mergeCell ref="O69:O70"/>
    <mergeCell ref="P69:P70"/>
    <mergeCell ref="Q69:Q70"/>
    <mergeCell ref="R69:R70"/>
    <mergeCell ref="S69:S70"/>
    <mergeCell ref="M69:M70"/>
    <mergeCell ref="D78:D79"/>
    <mergeCell ref="F78:F79"/>
    <mergeCell ref="J78:J79"/>
    <mergeCell ref="K78:K79"/>
    <mergeCell ref="L78:L79"/>
    <mergeCell ref="D74:D77"/>
    <mergeCell ref="F74:F77"/>
    <mergeCell ref="J74:J77"/>
    <mergeCell ref="K74:K77"/>
    <mergeCell ref="L74:L77"/>
    <mergeCell ref="M78:M79"/>
    <mergeCell ref="O78:O79"/>
    <mergeCell ref="P78:P79"/>
    <mergeCell ref="Q78:Q79"/>
    <mergeCell ref="R78:R79"/>
    <mergeCell ref="S78:S79"/>
    <mergeCell ref="O74:O77"/>
    <mergeCell ref="P74:P77"/>
    <mergeCell ref="Q74:Q77"/>
    <mergeCell ref="R74:R77"/>
    <mergeCell ref="S74:S77"/>
    <mergeCell ref="M74:M77"/>
    <mergeCell ref="D85:D86"/>
    <mergeCell ref="F85:F86"/>
    <mergeCell ref="J85:J86"/>
    <mergeCell ref="K85:K86"/>
    <mergeCell ref="L85:L86"/>
    <mergeCell ref="D82:D84"/>
    <mergeCell ref="F82:F84"/>
    <mergeCell ref="J82:J84"/>
    <mergeCell ref="K82:K84"/>
    <mergeCell ref="L82:L84"/>
    <mergeCell ref="M85:M86"/>
    <mergeCell ref="O85:O86"/>
    <mergeCell ref="P85:P86"/>
    <mergeCell ref="Q85:Q86"/>
    <mergeCell ref="R85:R86"/>
    <mergeCell ref="S85:S86"/>
    <mergeCell ref="O82:O84"/>
    <mergeCell ref="P82:P84"/>
    <mergeCell ref="Q82:Q84"/>
    <mergeCell ref="R82:R84"/>
    <mergeCell ref="S82:S84"/>
    <mergeCell ref="M82:M84"/>
    <mergeCell ref="D91:D93"/>
    <mergeCell ref="F91:F93"/>
    <mergeCell ref="J91:J93"/>
    <mergeCell ref="K91:K93"/>
    <mergeCell ref="L91:L93"/>
    <mergeCell ref="D87:D90"/>
    <mergeCell ref="F87:F90"/>
    <mergeCell ref="J87:J90"/>
    <mergeCell ref="K87:K90"/>
    <mergeCell ref="L87:L90"/>
    <mergeCell ref="M91:M93"/>
    <mergeCell ref="O91:O93"/>
    <mergeCell ref="P91:P93"/>
    <mergeCell ref="Q91:Q93"/>
    <mergeCell ref="R91:R93"/>
    <mergeCell ref="S91:S93"/>
    <mergeCell ref="O87:O90"/>
    <mergeCell ref="P87:P90"/>
    <mergeCell ref="Q87:Q90"/>
    <mergeCell ref="R87:R90"/>
    <mergeCell ref="S87:S90"/>
    <mergeCell ref="M87:M90"/>
    <mergeCell ref="O94:O96"/>
    <mergeCell ref="P94:P96"/>
    <mergeCell ref="Q94:Q96"/>
    <mergeCell ref="R94:R96"/>
    <mergeCell ref="S94:S96"/>
    <mergeCell ref="D94:D96"/>
    <mergeCell ref="F94:F96"/>
    <mergeCell ref="J94:J96"/>
    <mergeCell ref="K94:K96"/>
    <mergeCell ref="L94:L96"/>
    <mergeCell ref="M94:M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9101-E055-4295-A4C5-A1A348CE08CD}">
  <sheetPr codeName="Sheet5"/>
  <dimension ref="A1:A58"/>
  <sheetViews>
    <sheetView topLeftCell="A29" workbookViewId="0">
      <selection activeCell="A59" sqref="A59"/>
    </sheetView>
  </sheetViews>
  <sheetFormatPr defaultRowHeight="14.4" x14ac:dyDescent="0.3"/>
  <sheetData>
    <row r="1" spans="1:1" x14ac:dyDescent="0.3">
      <c r="A1">
        <v>82</v>
      </c>
    </row>
    <row r="2" spans="1:1" x14ac:dyDescent="0.3">
      <c r="A2">
        <v>66</v>
      </c>
    </row>
    <row r="3" spans="1:1" x14ac:dyDescent="0.3">
      <c r="A3">
        <v>71</v>
      </c>
    </row>
    <row r="4" spans="1:1" x14ac:dyDescent="0.3">
      <c r="A4">
        <v>67</v>
      </c>
    </row>
    <row r="5" spans="1:1" x14ac:dyDescent="0.3">
      <c r="A5">
        <v>68</v>
      </c>
    </row>
    <row r="6" spans="1:1" x14ac:dyDescent="0.3">
      <c r="A6">
        <v>83</v>
      </c>
    </row>
    <row r="7" spans="1:1" x14ac:dyDescent="0.3">
      <c r="A7">
        <v>77</v>
      </c>
    </row>
    <row r="8" spans="1:1" x14ac:dyDescent="0.3">
      <c r="A8">
        <v>71</v>
      </c>
    </row>
    <row r="9" spans="1:1" x14ac:dyDescent="0.3">
      <c r="A9">
        <v>64</v>
      </c>
    </row>
    <row r="10" spans="1:1" x14ac:dyDescent="0.3">
      <c r="A10">
        <v>67</v>
      </c>
    </row>
    <row r="11" spans="1:1" x14ac:dyDescent="0.3">
      <c r="A11">
        <v>67</v>
      </c>
    </row>
    <row r="12" spans="1:1" x14ac:dyDescent="0.3">
      <c r="A12">
        <v>64</v>
      </c>
    </row>
    <row r="13" spans="1:1" x14ac:dyDescent="0.3">
      <c r="A13">
        <v>74</v>
      </c>
    </row>
    <row r="14" spans="1:1" x14ac:dyDescent="0.3">
      <c r="A14">
        <v>73</v>
      </c>
    </row>
    <row r="15" spans="1:1" x14ac:dyDescent="0.3">
      <c r="A15">
        <v>85</v>
      </c>
    </row>
    <row r="16" spans="1:1" x14ac:dyDescent="0.3">
      <c r="A16">
        <v>76</v>
      </c>
    </row>
    <row r="17" spans="1:1" x14ac:dyDescent="0.3">
      <c r="A17">
        <v>77</v>
      </c>
    </row>
    <row r="18" spans="1:1" x14ac:dyDescent="0.3">
      <c r="A18">
        <v>71</v>
      </c>
    </row>
    <row r="19" spans="1:1" x14ac:dyDescent="0.3">
      <c r="A19">
        <v>79</v>
      </c>
    </row>
    <row r="20" spans="1:1" x14ac:dyDescent="0.3">
      <c r="A20">
        <v>70</v>
      </c>
    </row>
    <row r="21" spans="1:1" x14ac:dyDescent="0.3">
      <c r="A21">
        <v>59</v>
      </c>
    </row>
    <row r="22" spans="1:1" x14ac:dyDescent="0.3">
      <c r="A22">
        <v>76</v>
      </c>
    </row>
    <row r="23" spans="1:1" x14ac:dyDescent="0.3">
      <c r="A23">
        <v>69</v>
      </c>
    </row>
    <row r="24" spans="1:1" x14ac:dyDescent="0.3">
      <c r="A24">
        <v>63</v>
      </c>
    </row>
    <row r="25" spans="1:1" x14ac:dyDescent="0.3">
      <c r="A25">
        <v>76</v>
      </c>
    </row>
    <row r="26" spans="1:1" x14ac:dyDescent="0.3">
      <c r="A26">
        <v>69</v>
      </c>
    </row>
    <row r="27" spans="1:1" x14ac:dyDescent="0.3">
      <c r="A27">
        <v>77</v>
      </c>
    </row>
    <row r="28" spans="1:1" x14ac:dyDescent="0.3">
      <c r="A28">
        <v>66</v>
      </c>
    </row>
    <row r="29" spans="1:1" x14ac:dyDescent="0.3">
      <c r="A29">
        <v>68</v>
      </c>
    </row>
    <row r="30" spans="1:1" x14ac:dyDescent="0.3">
      <c r="A30">
        <v>70</v>
      </c>
    </row>
    <row r="31" spans="1:1" x14ac:dyDescent="0.3">
      <c r="A31">
        <v>72</v>
      </c>
    </row>
    <row r="32" spans="1:1" x14ac:dyDescent="0.3">
      <c r="A32">
        <v>70</v>
      </c>
    </row>
    <row r="33" spans="1:1" x14ac:dyDescent="0.3">
      <c r="A33">
        <v>57</v>
      </c>
    </row>
    <row r="34" spans="1:1" x14ac:dyDescent="0.3">
      <c r="A34">
        <v>74</v>
      </c>
    </row>
    <row r="35" spans="1:1" x14ac:dyDescent="0.3">
      <c r="A35">
        <v>76</v>
      </c>
    </row>
    <row r="36" spans="1:1" x14ac:dyDescent="0.3">
      <c r="A36">
        <v>76</v>
      </c>
    </row>
    <row r="37" spans="1:1" x14ac:dyDescent="0.3">
      <c r="A37">
        <v>69</v>
      </c>
    </row>
    <row r="38" spans="1:1" x14ac:dyDescent="0.3">
      <c r="A38">
        <v>67</v>
      </c>
    </row>
    <row r="39" spans="1:1" x14ac:dyDescent="0.3">
      <c r="A39">
        <v>75</v>
      </c>
    </row>
    <row r="40" spans="1:1" x14ac:dyDescent="0.3">
      <c r="A40">
        <v>71</v>
      </c>
    </row>
    <row r="41" spans="1:1" x14ac:dyDescent="0.3">
      <c r="A41">
        <v>71</v>
      </c>
    </row>
    <row r="42" spans="1:1" x14ac:dyDescent="0.3">
      <c r="A42">
        <v>63</v>
      </c>
    </row>
    <row r="43" spans="1:1" x14ac:dyDescent="0.3">
      <c r="A43">
        <v>72</v>
      </c>
    </row>
    <row r="44" spans="1:1" x14ac:dyDescent="0.3">
      <c r="A44">
        <v>79</v>
      </c>
    </row>
    <row r="45" spans="1:1" x14ac:dyDescent="0.3">
      <c r="A45">
        <v>64</v>
      </c>
    </row>
    <row r="46" spans="1:1" x14ac:dyDescent="0.3">
      <c r="A46">
        <v>71</v>
      </c>
    </row>
    <row r="47" spans="1:1" x14ac:dyDescent="0.3">
      <c r="A47">
        <v>69</v>
      </c>
    </row>
    <row r="48" spans="1:1" x14ac:dyDescent="0.3">
      <c r="A48">
        <v>80</v>
      </c>
    </row>
    <row r="49" spans="1:1" x14ac:dyDescent="0.3">
      <c r="A49">
        <v>69</v>
      </c>
    </row>
    <row r="50" spans="1:1" x14ac:dyDescent="0.3">
      <c r="A50">
        <v>77</v>
      </c>
    </row>
    <row r="51" spans="1:1" x14ac:dyDescent="0.3">
      <c r="A51">
        <v>72</v>
      </c>
    </row>
    <row r="52" spans="1:1" x14ac:dyDescent="0.3">
      <c r="A52">
        <v>71</v>
      </c>
    </row>
    <row r="53" spans="1:1" x14ac:dyDescent="0.3">
      <c r="A53">
        <v>58</v>
      </c>
    </row>
    <row r="54" spans="1:1" x14ac:dyDescent="0.3">
      <c r="A54">
        <v>63</v>
      </c>
    </row>
    <row r="55" spans="1:1" x14ac:dyDescent="0.3">
      <c r="A55">
        <v>61</v>
      </c>
    </row>
    <row r="56" spans="1:1" x14ac:dyDescent="0.3">
      <c r="A56">
        <v>71</v>
      </c>
    </row>
    <row r="58" spans="1:1" x14ac:dyDescent="0.3">
      <c r="A58">
        <f>SUM(A1:A57)</f>
        <v>3963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A3EB-4B62-4CB0-A831-AA69351EAFFC}">
  <sheetPr codeName="Sheet6"/>
  <dimension ref="B1:X31"/>
  <sheetViews>
    <sheetView showGridLines="0" zoomScale="70" zoomScaleNormal="70" workbookViewId="0">
      <selection activeCell="D11" sqref="D11:D14"/>
    </sheetView>
  </sheetViews>
  <sheetFormatPr defaultRowHeight="14.4" x14ac:dyDescent="0.3"/>
  <cols>
    <col min="2" max="2" width="15.77734375" style="20" bestFit="1" customWidth="1"/>
    <col min="3" max="3" width="13.44140625" style="2" bestFit="1" customWidth="1"/>
    <col min="4" max="4" width="15.6640625" style="6" bestFit="1" customWidth="1"/>
    <col min="5" max="5" width="13.44140625" style="6" bestFit="1" customWidth="1"/>
    <col min="6" max="6" width="2.88671875" style="6" customWidth="1"/>
    <col min="7" max="7" width="15.77734375" style="20" bestFit="1" customWidth="1"/>
    <col min="8" max="8" width="15.77734375" style="6" bestFit="1" customWidth="1"/>
    <col min="9" max="10" width="13.44140625" style="6" bestFit="1" customWidth="1"/>
    <col min="11" max="11" width="13.44140625" bestFit="1" customWidth="1"/>
    <col min="12" max="12" width="1.33203125" customWidth="1"/>
    <col min="13" max="13" width="16.33203125" bestFit="1" customWidth="1"/>
    <col min="14" max="14" width="13.44140625" bestFit="1" customWidth="1"/>
    <col min="15" max="15" width="15.77734375" bestFit="1" customWidth="1"/>
    <col min="16" max="17" width="13.44140625" bestFit="1" customWidth="1"/>
    <col min="18" max="18" width="1.109375" customWidth="1"/>
    <col min="19" max="19" width="16.21875" customWidth="1"/>
    <col min="20" max="22" width="17.77734375" style="2" customWidth="1"/>
    <col min="24" max="24" width="12.88671875" bestFit="1" customWidth="1"/>
  </cols>
  <sheetData>
    <row r="1" spans="2:24" s="4" customFormat="1" x14ac:dyDescent="0.3">
      <c r="B1" s="47"/>
      <c r="D1" s="5"/>
      <c r="E1" s="5"/>
      <c r="F1" s="5"/>
      <c r="G1" s="47" t="s">
        <v>82</v>
      </c>
      <c r="H1" s="5">
        <v>120000</v>
      </c>
      <c r="I1" s="5" t="s">
        <v>83</v>
      </c>
      <c r="J1" s="5">
        <v>50000</v>
      </c>
      <c r="K1" s="4" t="s">
        <v>115</v>
      </c>
      <c r="L1" s="4">
        <v>30000</v>
      </c>
      <c r="M1" s="4" t="s">
        <v>116</v>
      </c>
      <c r="N1" s="4">
        <v>30000</v>
      </c>
    </row>
    <row r="2" spans="2:24" x14ac:dyDescent="0.3">
      <c r="G2" s="45"/>
    </row>
    <row r="3" spans="2:24" x14ac:dyDescent="0.3">
      <c r="G3" s="45"/>
    </row>
    <row r="4" spans="2:24" x14ac:dyDescent="0.3">
      <c r="B4" s="73"/>
      <c r="C4" s="74" t="s">
        <v>90</v>
      </c>
      <c r="D4" s="75" t="s">
        <v>91</v>
      </c>
      <c r="E4" s="76" t="s">
        <v>92</v>
      </c>
      <c r="G4" s="73"/>
      <c r="H4" s="74" t="s">
        <v>90</v>
      </c>
      <c r="I4" s="75" t="s">
        <v>91</v>
      </c>
      <c r="J4" s="97" t="s">
        <v>91</v>
      </c>
      <c r="K4" s="76" t="s">
        <v>92</v>
      </c>
      <c r="M4" s="73"/>
      <c r="N4" s="74" t="s">
        <v>90</v>
      </c>
      <c r="O4" s="75" t="s">
        <v>91</v>
      </c>
      <c r="P4" s="97" t="s">
        <v>119</v>
      </c>
      <c r="Q4" s="76" t="s">
        <v>92</v>
      </c>
      <c r="S4" s="73"/>
      <c r="T4" s="74" t="s">
        <v>90</v>
      </c>
      <c r="U4" s="75" t="s">
        <v>91</v>
      </c>
      <c r="V4" s="76" t="s">
        <v>92</v>
      </c>
    </row>
    <row r="5" spans="2:24" x14ac:dyDescent="0.3">
      <c r="B5" s="77" t="s">
        <v>80</v>
      </c>
      <c r="C5" s="53">
        <v>50</v>
      </c>
      <c r="D5" s="54">
        <v>67</v>
      </c>
      <c r="E5" s="78">
        <f>+C5+D5</f>
        <v>117</v>
      </c>
      <c r="G5" s="77" t="s">
        <v>80</v>
      </c>
      <c r="H5" s="53">
        <v>50</v>
      </c>
      <c r="I5" s="54">
        <v>67</v>
      </c>
      <c r="J5" s="98">
        <v>29</v>
      </c>
      <c r="K5" s="86">
        <f>+SUM(H5:J5)</f>
        <v>146</v>
      </c>
      <c r="M5" s="77" t="s">
        <v>80</v>
      </c>
      <c r="N5" s="53">
        <v>50</v>
      </c>
      <c r="O5" s="54">
        <v>67</v>
      </c>
      <c r="P5" s="98">
        <v>24</v>
      </c>
      <c r="Q5" s="86">
        <f>+SUM(N5:P5)</f>
        <v>141</v>
      </c>
      <c r="S5" s="77" t="s">
        <v>80</v>
      </c>
      <c r="T5" s="53">
        <v>50</v>
      </c>
      <c r="U5" s="54">
        <v>94</v>
      </c>
      <c r="V5" s="86">
        <f>+SUM(T5:U5)</f>
        <v>144</v>
      </c>
    </row>
    <row r="6" spans="2:24" x14ac:dyDescent="0.3">
      <c r="B6" s="79" t="s">
        <v>89</v>
      </c>
      <c r="C6" s="55">
        <v>73</v>
      </c>
      <c r="D6" s="56">
        <v>71</v>
      </c>
      <c r="E6" s="80"/>
      <c r="G6" s="79" t="s">
        <v>89</v>
      </c>
      <c r="H6" s="55">
        <v>73</v>
      </c>
      <c r="I6" s="56">
        <v>73</v>
      </c>
      <c r="J6" s="130">
        <v>74</v>
      </c>
      <c r="K6" s="86">
        <f>+AVERAGE(H6:J6)</f>
        <v>73.333333333333329</v>
      </c>
      <c r="M6" s="79" t="s">
        <v>89</v>
      </c>
      <c r="N6" s="55">
        <v>70</v>
      </c>
      <c r="O6" s="56">
        <v>73</v>
      </c>
      <c r="P6" s="130">
        <v>90</v>
      </c>
      <c r="Q6" s="86">
        <f>+AVERAGE(N6:P6)</f>
        <v>77.666666666666671</v>
      </c>
      <c r="S6" s="79" t="s">
        <v>89</v>
      </c>
      <c r="T6" s="55">
        <v>73</v>
      </c>
      <c r="U6" s="56">
        <v>74</v>
      </c>
      <c r="V6" s="86">
        <f>+AVERAGE(T6:U6)</f>
        <v>73.5</v>
      </c>
    </row>
    <row r="7" spans="2:24" x14ac:dyDescent="0.3">
      <c r="B7" s="81" t="s">
        <v>81</v>
      </c>
      <c r="C7" s="57">
        <f>+C5*C6</f>
        <v>3650</v>
      </c>
      <c r="D7" s="58">
        <v>4781</v>
      </c>
      <c r="E7" s="82">
        <f>+C7+D7</f>
        <v>8431</v>
      </c>
      <c r="G7" s="81" t="s">
        <v>81</v>
      </c>
      <c r="H7" s="57">
        <f>+H5*H6</f>
        <v>3650</v>
      </c>
      <c r="I7" s="58">
        <v>4781</v>
      </c>
      <c r="J7" s="58">
        <v>2199</v>
      </c>
      <c r="K7" s="86">
        <f t="shared" ref="K7:K16" si="0">+SUM(H7:J7)</f>
        <v>10630</v>
      </c>
      <c r="M7" s="81" t="s">
        <v>81</v>
      </c>
      <c r="N7" s="57">
        <f>+N5*N6</f>
        <v>3500</v>
      </c>
      <c r="O7" s="58">
        <v>4781</v>
      </c>
      <c r="P7" s="58">
        <f>+P5*P6</f>
        <v>2160</v>
      </c>
      <c r="Q7" s="86">
        <f t="shared" ref="Q7:Q14" si="1">+SUM(N7:P7)</f>
        <v>10441</v>
      </c>
      <c r="S7" s="81" t="s">
        <v>81</v>
      </c>
      <c r="T7" s="57">
        <f>+T5*T6</f>
        <v>3650</v>
      </c>
      <c r="U7" s="58">
        <v>6944</v>
      </c>
      <c r="V7" s="86">
        <f>+SUM(T7:U7)</f>
        <v>10594</v>
      </c>
      <c r="X7" s="136" t="e">
        <f>+#REF!+#REF!</f>
        <v>#REF!</v>
      </c>
    </row>
    <row r="8" spans="2:24" x14ac:dyDescent="0.3">
      <c r="B8" s="79" t="s">
        <v>88</v>
      </c>
      <c r="C8" s="55">
        <v>475</v>
      </c>
      <c r="D8" s="56">
        <v>530</v>
      </c>
      <c r="E8" s="80"/>
      <c r="G8" s="79" t="s">
        <v>88</v>
      </c>
      <c r="H8" s="55">
        <v>475</v>
      </c>
      <c r="I8" s="56">
        <v>530</v>
      </c>
      <c r="J8" s="130">
        <v>535</v>
      </c>
      <c r="K8" s="86">
        <f t="shared" si="0"/>
        <v>1540</v>
      </c>
      <c r="M8" s="79" t="s">
        <v>88</v>
      </c>
      <c r="N8" s="55">
        <v>475</v>
      </c>
      <c r="O8" s="56">
        <v>530</v>
      </c>
      <c r="P8" s="130">
        <v>605</v>
      </c>
      <c r="Q8" s="86">
        <f t="shared" si="1"/>
        <v>1610</v>
      </c>
      <c r="S8" s="79" t="s">
        <v>88</v>
      </c>
      <c r="T8" s="55">
        <v>475</v>
      </c>
      <c r="U8" s="56">
        <v>532</v>
      </c>
      <c r="V8" s="86">
        <f>+SUM(T8:U8)</f>
        <v>1007</v>
      </c>
      <c r="X8" s="16" t="e">
        <f>+#REF!+#REF!</f>
        <v>#REF!</v>
      </c>
    </row>
    <row r="9" spans="2:24" x14ac:dyDescent="0.3">
      <c r="B9" s="79" t="s">
        <v>114</v>
      </c>
      <c r="C9" s="116">
        <f>+C7/E7</f>
        <v>0.43292610603724352</v>
      </c>
      <c r="D9" s="116">
        <f>+D7/E7</f>
        <v>0.56707389396275654</v>
      </c>
      <c r="E9" s="117">
        <f>+C9+D9</f>
        <v>1</v>
      </c>
      <c r="F9" s="117"/>
      <c r="G9" s="79" t="s">
        <v>114</v>
      </c>
      <c r="H9" s="116">
        <f>+H7/$K$7</f>
        <v>0.34336782690498591</v>
      </c>
      <c r="I9" s="116">
        <f>+I7/$K$7</f>
        <v>0.44976481655691442</v>
      </c>
      <c r="J9" s="116">
        <f>+J7/$K$7</f>
        <v>0.20686735653809971</v>
      </c>
      <c r="K9" s="117">
        <f t="shared" si="0"/>
        <v>1</v>
      </c>
      <c r="M9" s="79" t="s">
        <v>114</v>
      </c>
      <c r="N9" s="116">
        <f>+N7/$K$7</f>
        <v>0.32925682031984949</v>
      </c>
      <c r="O9" s="116">
        <f>+O7/$K$7</f>
        <v>0.44976481655691442</v>
      </c>
      <c r="P9" s="116">
        <f>+P7/$K$7</f>
        <v>0.20319849482596425</v>
      </c>
      <c r="Q9" s="117">
        <f t="shared" si="1"/>
        <v>0.98222013170272815</v>
      </c>
      <c r="S9" s="79" t="s">
        <v>114</v>
      </c>
      <c r="T9" s="116">
        <f>+T7/V7</f>
        <v>0.34453464225033037</v>
      </c>
      <c r="U9" s="116">
        <f>+U7/V7</f>
        <v>0.65546535774966963</v>
      </c>
      <c r="V9" s="117">
        <f>+SUM(T9:U9)</f>
        <v>1</v>
      </c>
      <c r="X9" t="e">
        <f>+X8/X7</f>
        <v>#REF!</v>
      </c>
    </row>
    <row r="10" spans="2:24" x14ac:dyDescent="0.3">
      <c r="B10" s="83" t="s">
        <v>52</v>
      </c>
      <c r="C10" s="59">
        <f>+C7*C8</f>
        <v>1733750</v>
      </c>
      <c r="D10" s="60">
        <f>+D7*D8</f>
        <v>2533930</v>
      </c>
      <c r="E10" s="84">
        <f t="shared" ref="E10:E16" si="2">+C10+D10</f>
        <v>4267680</v>
      </c>
      <c r="G10" s="83" t="s">
        <v>52</v>
      </c>
      <c r="H10" s="59">
        <f>+H7*H8</f>
        <v>1733750</v>
      </c>
      <c r="I10" s="60">
        <f>+I7*I8</f>
        <v>2533930</v>
      </c>
      <c r="J10" s="60">
        <f>+J7*J8</f>
        <v>1176465</v>
      </c>
      <c r="K10" s="86">
        <f t="shared" si="0"/>
        <v>5444145</v>
      </c>
      <c r="M10" s="83" t="s">
        <v>52</v>
      </c>
      <c r="N10" s="59">
        <f>+N7*N8</f>
        <v>1662500</v>
      </c>
      <c r="O10" s="60">
        <f>+O7*O8</f>
        <v>2533930</v>
      </c>
      <c r="P10" s="60">
        <f>+P7*P8</f>
        <v>1306800</v>
      </c>
      <c r="Q10" s="86">
        <f t="shared" si="1"/>
        <v>5503230</v>
      </c>
      <c r="S10" s="83" t="s">
        <v>52</v>
      </c>
      <c r="T10" s="59">
        <f>+T7*T8</f>
        <v>1733750</v>
      </c>
      <c r="U10" s="60">
        <f>+U8*U7</f>
        <v>3694208</v>
      </c>
      <c r="V10" s="86">
        <f>+SUM(T10:U10)</f>
        <v>5427958</v>
      </c>
    </row>
    <row r="11" spans="2:24" x14ac:dyDescent="0.3">
      <c r="B11" s="85" t="s">
        <v>23</v>
      </c>
      <c r="C11" s="63">
        <v>75000</v>
      </c>
      <c r="D11" s="64">
        <v>75000</v>
      </c>
      <c r="E11" s="86">
        <f t="shared" si="2"/>
        <v>150000</v>
      </c>
      <c r="G11" s="85" t="s">
        <v>23</v>
      </c>
      <c r="H11" s="63">
        <v>75000</v>
      </c>
      <c r="I11" s="64">
        <v>75000</v>
      </c>
      <c r="J11" s="99">
        <v>50000</v>
      </c>
      <c r="K11" s="86">
        <f t="shared" si="0"/>
        <v>200000</v>
      </c>
      <c r="M11" s="85" t="s">
        <v>23</v>
      </c>
      <c r="N11" s="63">
        <v>75000</v>
      </c>
      <c r="O11" s="64">
        <v>75000</v>
      </c>
      <c r="P11" s="99">
        <v>50000</v>
      </c>
      <c r="Q11" s="86">
        <f t="shared" si="1"/>
        <v>200000</v>
      </c>
      <c r="S11" s="85" t="s">
        <v>23</v>
      </c>
      <c r="T11" s="63">
        <v>50000</v>
      </c>
      <c r="U11" s="64">
        <v>100000</v>
      </c>
      <c r="V11" s="86">
        <f>+SUM(T11:U11)</f>
        <v>150000</v>
      </c>
    </row>
    <row r="12" spans="2:24" x14ac:dyDescent="0.3">
      <c r="B12" s="87" t="s">
        <v>82</v>
      </c>
      <c r="C12" s="61">
        <f>+C9*H1</f>
        <v>51951.132724469222</v>
      </c>
      <c r="D12" s="62">
        <f>+D9*H1</f>
        <v>68048.867275530778</v>
      </c>
      <c r="E12" s="88">
        <f t="shared" si="2"/>
        <v>120000</v>
      </c>
      <c r="G12" s="87" t="s">
        <v>82</v>
      </c>
      <c r="H12" s="61">
        <f>+$H$1*H9</f>
        <v>41204.139228598309</v>
      </c>
      <c r="I12" s="61">
        <f>+$H$1*I9</f>
        <v>53971.777986829729</v>
      </c>
      <c r="J12" s="61">
        <f>+$H$1*J9</f>
        <v>24824.082784571965</v>
      </c>
      <c r="K12" s="86">
        <f t="shared" si="0"/>
        <v>120000</v>
      </c>
      <c r="M12" s="87" t="s">
        <v>82</v>
      </c>
      <c r="N12" s="61">
        <f>+$H$1*N9</f>
        <v>39510.818438381939</v>
      </c>
      <c r="O12" s="61">
        <f>+$H$1*O9</f>
        <v>53971.777986829729</v>
      </c>
      <c r="P12" s="61">
        <f>+$H$1*P9</f>
        <v>24383.81937911571</v>
      </c>
      <c r="Q12" s="86">
        <f t="shared" si="1"/>
        <v>117866.41580432738</v>
      </c>
      <c r="S12" s="87" t="s">
        <v>82</v>
      </c>
      <c r="T12" s="61">
        <f>+T9*$H$1</f>
        <v>41344.157070039648</v>
      </c>
      <c r="U12" s="61">
        <f>+U9*$H$1</f>
        <v>78655.842929960359</v>
      </c>
      <c r="V12" s="86">
        <f>+SUM(T12:U12)</f>
        <v>120000</v>
      </c>
    </row>
    <row r="13" spans="2:24" x14ac:dyDescent="0.3">
      <c r="B13" s="87" t="s">
        <v>115</v>
      </c>
      <c r="C13" s="61">
        <f>+C9*L1</f>
        <v>12987.783181117306</v>
      </c>
      <c r="D13" s="62">
        <f>+D9*N1</f>
        <v>17012.216818882694</v>
      </c>
      <c r="E13" s="88">
        <f t="shared" si="2"/>
        <v>30000</v>
      </c>
      <c r="G13" s="89" t="s">
        <v>115</v>
      </c>
      <c r="H13" s="65">
        <f>+$L$1*H9</f>
        <v>10301.034807149577</v>
      </c>
      <c r="I13" s="65">
        <f>+$L$1*I9</f>
        <v>13492.944496707432</v>
      </c>
      <c r="J13" s="65">
        <f>+$L$1*J9</f>
        <v>6206.0206961429913</v>
      </c>
      <c r="K13" s="86">
        <f t="shared" si="0"/>
        <v>30000</v>
      </c>
      <c r="M13" s="89" t="s">
        <v>115</v>
      </c>
      <c r="N13" s="65">
        <f>+$L$1*N9</f>
        <v>9877.7046095954847</v>
      </c>
      <c r="O13" s="65">
        <f>+$L$1*O9</f>
        <v>13492.944496707432</v>
      </c>
      <c r="P13" s="65">
        <f>+$L$1*P9</f>
        <v>6095.9548447789275</v>
      </c>
      <c r="Q13" s="86">
        <f t="shared" si="1"/>
        <v>29466.603951081845</v>
      </c>
      <c r="S13" s="89" t="s">
        <v>115</v>
      </c>
      <c r="T13" s="65">
        <f>+T9*$L$1</f>
        <v>10336.039267509912</v>
      </c>
      <c r="U13" s="65">
        <f>+U9*$L$1</f>
        <v>19663.96073249009</v>
      </c>
      <c r="V13" s="86">
        <f>+SUM(T13:U13)</f>
        <v>30000</v>
      </c>
    </row>
    <row r="14" spans="2:24" x14ac:dyDescent="0.3">
      <c r="B14" s="89" t="s">
        <v>84</v>
      </c>
      <c r="C14" s="65">
        <f>+C9*N1</f>
        <v>12987.783181117306</v>
      </c>
      <c r="D14" s="66">
        <f>+D9*N1</f>
        <v>17012.216818882694</v>
      </c>
      <c r="E14" s="90">
        <f t="shared" si="2"/>
        <v>30000</v>
      </c>
      <c r="F14" s="52"/>
      <c r="G14" s="89" t="s">
        <v>84</v>
      </c>
      <c r="H14" s="65">
        <f>+$N$1*H9</f>
        <v>10301.034807149577</v>
      </c>
      <c r="I14" s="65">
        <f>+$N$1*I9</f>
        <v>13492.944496707432</v>
      </c>
      <c r="J14" s="65">
        <f>+$N$1*J9</f>
        <v>6206.0206961429913</v>
      </c>
      <c r="K14" s="86">
        <f t="shared" si="0"/>
        <v>30000</v>
      </c>
      <c r="M14" s="89" t="s">
        <v>84</v>
      </c>
      <c r="N14" s="65">
        <f>+$N$1*N9</f>
        <v>9877.7046095954847</v>
      </c>
      <c r="O14" s="65">
        <f>+$N$1*O9</f>
        <v>13492.944496707432</v>
      </c>
      <c r="P14" s="65">
        <f>+$N$1*P9</f>
        <v>6095.9548447789275</v>
      </c>
      <c r="Q14" s="86">
        <f t="shared" si="1"/>
        <v>29466.603951081845</v>
      </c>
      <c r="S14" s="89" t="s">
        <v>84</v>
      </c>
      <c r="T14" s="65">
        <f>+T9*$N$1</f>
        <v>10336.039267509912</v>
      </c>
      <c r="U14" s="65">
        <f>+U9*$N$1</f>
        <v>19663.96073249009</v>
      </c>
      <c r="V14" s="86">
        <f>+SUM(T14:U14)</f>
        <v>30000</v>
      </c>
    </row>
    <row r="15" spans="2:24" x14ac:dyDescent="0.3">
      <c r="B15" s="91" t="s">
        <v>120</v>
      </c>
      <c r="C15" s="72">
        <f>+C10*0.06</f>
        <v>104025</v>
      </c>
      <c r="D15" s="72">
        <f t="shared" ref="D15" si="3">+D10*0.06</f>
        <v>152035.79999999999</v>
      </c>
      <c r="E15" s="92">
        <f t="shared" si="2"/>
        <v>256060.79999999999</v>
      </c>
      <c r="G15" s="91" t="s">
        <v>120</v>
      </c>
      <c r="H15" s="72">
        <f>+(H7*0.06)*H8</f>
        <v>104025</v>
      </c>
      <c r="I15" s="72">
        <f t="shared" ref="I15:J15" si="4">+(I7*0.06)*I8</f>
        <v>152035.80000000002</v>
      </c>
      <c r="J15" s="72">
        <f t="shared" si="4"/>
        <v>70587.899999999994</v>
      </c>
      <c r="K15" s="92">
        <f>+SUM(H15:J15)</f>
        <v>326648.7</v>
      </c>
      <c r="M15" s="91" t="s">
        <v>120</v>
      </c>
      <c r="N15" s="72">
        <f>+(N7*0.06)*N8</f>
        <v>99750</v>
      </c>
      <c r="O15" s="72">
        <f t="shared" ref="O15" si="5">+(O7*0.06)*O8</f>
        <v>152035.80000000002</v>
      </c>
      <c r="P15" s="72">
        <v>0</v>
      </c>
      <c r="Q15" s="92">
        <f>+SUM(N15:P15)</f>
        <v>251785.80000000002</v>
      </c>
      <c r="S15" s="91" t="s">
        <v>120</v>
      </c>
      <c r="T15" s="72">
        <f>+(T7*0.06)*T8</f>
        <v>104025</v>
      </c>
      <c r="U15" s="72">
        <f>+(U7*0.06)*U8</f>
        <v>221652.47999999998</v>
      </c>
      <c r="V15" s="92">
        <f>+SUM(T15:U15)</f>
        <v>325677.48</v>
      </c>
    </row>
    <row r="16" spans="2:24" x14ac:dyDescent="0.3">
      <c r="B16" s="87" t="s">
        <v>85</v>
      </c>
      <c r="C16" s="61">
        <f>+SUM(C10:C15)</f>
        <v>1990701.6990867041</v>
      </c>
      <c r="D16" s="62">
        <f>+SUM(D10:D15)</f>
        <v>2863039.100913296</v>
      </c>
      <c r="E16" s="88">
        <f t="shared" si="2"/>
        <v>4853740.8</v>
      </c>
      <c r="G16" s="87" t="s">
        <v>85</v>
      </c>
      <c r="H16" s="61">
        <f>+SUM(H10:H15)</f>
        <v>1974581.2088428973</v>
      </c>
      <c r="I16" s="62">
        <f>+SUM(I10:I15)</f>
        <v>2841923.4669802445</v>
      </c>
      <c r="J16" s="62">
        <f>+SUM(J10:J15)</f>
        <v>1334289.0241768577</v>
      </c>
      <c r="K16" s="86">
        <f t="shared" si="0"/>
        <v>6150793.6999999993</v>
      </c>
      <c r="M16" s="87" t="s">
        <v>85</v>
      </c>
      <c r="N16" s="61">
        <f>+SUM(N10:N15)</f>
        <v>1896516.2276575728</v>
      </c>
      <c r="O16" s="62">
        <f>+SUM(O10:O15)</f>
        <v>2841923.4669802445</v>
      </c>
      <c r="P16" s="62">
        <f>+SUM(P10:P15)</f>
        <v>1393375.7290686734</v>
      </c>
      <c r="Q16" s="86">
        <f t="shared" ref="Q16" si="6">+SUM(N16:P16)</f>
        <v>6131815.4237064905</v>
      </c>
      <c r="S16" s="87" t="s">
        <v>85</v>
      </c>
      <c r="T16" s="61">
        <f>+SUM(T10:T15)</f>
        <v>1949791.2356050594</v>
      </c>
      <c r="U16" s="61">
        <f>+SUM(U10:U15)</f>
        <v>4133844.2443949408</v>
      </c>
      <c r="V16" s="86">
        <f>+SUM(T16:U16)</f>
        <v>6083635.4800000004</v>
      </c>
    </row>
    <row r="17" spans="2:22" x14ac:dyDescent="0.3">
      <c r="B17" s="93" t="s">
        <v>86</v>
      </c>
      <c r="C17" s="61">
        <f>+C16/C7</f>
        <v>545.39772577717918</v>
      </c>
      <c r="D17" s="62">
        <f>+D16/D7</f>
        <v>598.8368753217519</v>
      </c>
      <c r="E17" s="88"/>
      <c r="G17" s="93" t="s">
        <v>86</v>
      </c>
      <c r="H17" s="61">
        <f>+H16/H7</f>
        <v>540.98115310764308</v>
      </c>
      <c r="I17" s="62">
        <f>+I16/I7</f>
        <v>594.42030265221592</v>
      </c>
      <c r="J17" s="62">
        <f>+J16/J7</f>
        <v>606.77081590580156</v>
      </c>
      <c r="K17" s="88"/>
      <c r="M17" s="93" t="s">
        <v>86</v>
      </c>
      <c r="N17" s="61">
        <f>+N16/N7</f>
        <v>541.86177933073509</v>
      </c>
      <c r="O17" s="62">
        <f>+O16/O7</f>
        <v>594.42030265221592</v>
      </c>
      <c r="P17" s="62">
        <f>+P16/P5</f>
        <v>58057.32204452806</v>
      </c>
      <c r="Q17" s="88"/>
      <c r="S17" s="93" t="s">
        <v>86</v>
      </c>
      <c r="T17" s="61">
        <f>+T16/T7</f>
        <v>534.18937961782456</v>
      </c>
      <c r="U17" s="61">
        <f>+U16/U7</f>
        <v>595.3116711398244</v>
      </c>
      <c r="V17" s="88"/>
    </row>
    <row r="18" spans="2:22" x14ac:dyDescent="0.3">
      <c r="B18" s="94" t="s">
        <v>87</v>
      </c>
      <c r="C18" s="67">
        <v>575</v>
      </c>
      <c r="D18" s="68">
        <v>600</v>
      </c>
      <c r="E18" s="90"/>
      <c r="G18" s="94" t="s">
        <v>87</v>
      </c>
      <c r="H18" s="67">
        <v>575</v>
      </c>
      <c r="I18" s="68">
        <v>600</v>
      </c>
      <c r="J18" s="68">
        <v>600</v>
      </c>
      <c r="K18" s="88"/>
      <c r="M18" s="94" t="s">
        <v>87</v>
      </c>
      <c r="N18" s="67">
        <v>575</v>
      </c>
      <c r="O18" s="68">
        <v>600</v>
      </c>
      <c r="P18" s="68">
        <v>62000</v>
      </c>
      <c r="Q18" s="88"/>
      <c r="S18" s="94" t="s">
        <v>87</v>
      </c>
      <c r="T18" s="67">
        <v>575</v>
      </c>
      <c r="U18" s="68">
        <v>600</v>
      </c>
      <c r="V18" s="88"/>
    </row>
    <row r="19" spans="2:22" x14ac:dyDescent="0.3">
      <c r="B19" s="83" t="s">
        <v>53</v>
      </c>
      <c r="C19" s="59">
        <f>+C18*C7</f>
        <v>2098750</v>
      </c>
      <c r="D19" s="60">
        <f>+D18*D7</f>
        <v>2868600</v>
      </c>
      <c r="E19" s="84">
        <f>+C19+D19</f>
        <v>4967350</v>
      </c>
      <c r="F19" s="52"/>
      <c r="G19" s="83" t="s">
        <v>53</v>
      </c>
      <c r="H19" s="59">
        <f>+H18*H7</f>
        <v>2098750</v>
      </c>
      <c r="I19" s="60">
        <f>+I18*I7</f>
        <v>2868600</v>
      </c>
      <c r="J19" s="60">
        <f>+J18*J7</f>
        <v>1319400</v>
      </c>
      <c r="K19" s="86">
        <f>+SUM(H19:J19)</f>
        <v>6286750</v>
      </c>
      <c r="M19" s="83" t="s">
        <v>53</v>
      </c>
      <c r="N19" s="59">
        <f>+N18*N7</f>
        <v>2012500</v>
      </c>
      <c r="O19" s="60">
        <f>+O18*O7</f>
        <v>2868600</v>
      </c>
      <c r="P19" s="60">
        <f>+P18*P5</f>
        <v>1488000</v>
      </c>
      <c r="Q19" s="86">
        <f>+SUM(N19:P19)</f>
        <v>6369100</v>
      </c>
      <c r="S19" s="83" t="s">
        <v>53</v>
      </c>
      <c r="T19" s="59">
        <f>+T18*T7</f>
        <v>2098750</v>
      </c>
      <c r="U19" s="59">
        <f>+U18*U7</f>
        <v>4166400</v>
      </c>
      <c r="V19" s="86">
        <f>+SUM(T19:U19)</f>
        <v>6265150</v>
      </c>
    </row>
    <row r="20" spans="2:22" x14ac:dyDescent="0.3">
      <c r="B20" s="95" t="s">
        <v>33</v>
      </c>
      <c r="C20" s="70">
        <f>+C19-C16</f>
        <v>108048.30091329594</v>
      </c>
      <c r="D20" s="71">
        <f>+D19-D16</f>
        <v>5560.899086704012</v>
      </c>
      <c r="E20" s="96">
        <f>+C20+D20</f>
        <v>113609.19999999995</v>
      </c>
      <c r="F20" s="69"/>
      <c r="G20" s="95" t="s">
        <v>33</v>
      </c>
      <c r="H20" s="70">
        <f>+H19-H16</f>
        <v>124168.79115710268</v>
      </c>
      <c r="I20" s="71">
        <f>+I19-I16</f>
        <v>26676.533019755501</v>
      </c>
      <c r="J20" s="71">
        <f>+J19-J16</f>
        <v>-14889.024176857667</v>
      </c>
      <c r="K20" s="96">
        <f>+SUM(H20:J20)</f>
        <v>135956.30000000051</v>
      </c>
      <c r="M20" s="95" t="s">
        <v>33</v>
      </c>
      <c r="N20" s="70">
        <f>+N19-N16</f>
        <v>115983.77234242717</v>
      </c>
      <c r="O20" s="71">
        <f>+O19-O16</f>
        <v>26676.533019755501</v>
      </c>
      <c r="P20" s="71">
        <f>+P19-P16</f>
        <v>94624.270931326551</v>
      </c>
      <c r="Q20" s="96">
        <f>+SUM(N20:P20)</f>
        <v>237284.57629350922</v>
      </c>
      <c r="S20" s="95" t="s">
        <v>33</v>
      </c>
      <c r="T20" s="70">
        <f>+T19-T16</f>
        <v>148958.76439494058</v>
      </c>
      <c r="U20" s="70">
        <f>+U19-U16</f>
        <v>32555.75560505921</v>
      </c>
      <c r="V20" s="96">
        <f>+SUM(T20:U20)</f>
        <v>181514.51999999979</v>
      </c>
    </row>
    <row r="21" spans="2:22" x14ac:dyDescent="0.3">
      <c r="B21" s="131" t="s">
        <v>117</v>
      </c>
      <c r="C21" s="129">
        <f>+C20*0.15</f>
        <v>16207.24513699439</v>
      </c>
      <c r="D21" s="129">
        <f t="shared" ref="D21" si="7">+D20*0.15</f>
        <v>834.1348630056018</v>
      </c>
      <c r="E21" s="96">
        <f>+C21+D21</f>
        <v>17041.37999999999</v>
      </c>
      <c r="F21" s="49"/>
      <c r="G21" s="131" t="s">
        <v>117</v>
      </c>
      <c r="H21" s="129">
        <f>+H20*0.15</f>
        <v>18625.318673565402</v>
      </c>
      <c r="I21" s="129">
        <f t="shared" ref="I21:J21" si="8">+I20*0.15</f>
        <v>4001.4799529633251</v>
      </c>
      <c r="J21" s="129">
        <f t="shared" si="8"/>
        <v>-2233.3536265286498</v>
      </c>
      <c r="K21" s="132">
        <f>+SUM(H21:J21)</f>
        <v>20393.445000000076</v>
      </c>
      <c r="M21" s="131" t="s">
        <v>117</v>
      </c>
      <c r="N21" s="70">
        <f>+N20*0.15</f>
        <v>17397.565851364074</v>
      </c>
      <c r="O21" s="70">
        <f t="shared" ref="O21:P21" si="9">+O20*0.15</f>
        <v>4001.4799529633251</v>
      </c>
      <c r="P21" s="70">
        <f t="shared" si="9"/>
        <v>14193.640639698982</v>
      </c>
      <c r="Q21" s="96">
        <f t="shared" ref="Q21:Q22" si="10">+SUM(N21:P21)</f>
        <v>35592.686444026382</v>
      </c>
      <c r="S21" s="131" t="s">
        <v>117</v>
      </c>
      <c r="T21" s="129">
        <f>+T20*0.15</f>
        <v>22343.814659241085</v>
      </c>
      <c r="U21" s="129">
        <f>+U20*0.15</f>
        <v>4883.3633407588813</v>
      </c>
      <c r="V21" s="132">
        <f>+SUM(T21:U21)</f>
        <v>27227.177999999967</v>
      </c>
    </row>
    <row r="22" spans="2:22" x14ac:dyDescent="0.3">
      <c r="B22" s="133" t="s">
        <v>118</v>
      </c>
      <c r="C22" s="129">
        <f>+C20-C21</f>
        <v>91841.055776301553</v>
      </c>
      <c r="D22" s="129">
        <f t="shared" ref="D22" si="11">+D20-D21</f>
        <v>4726.7642236984102</v>
      </c>
      <c r="E22" s="96">
        <f>+C22+D22</f>
        <v>96567.819999999963</v>
      </c>
      <c r="F22" s="48"/>
      <c r="G22" s="133" t="s">
        <v>118</v>
      </c>
      <c r="H22" s="134">
        <f>+H20-H21</f>
        <v>105543.47248353728</v>
      </c>
      <c r="I22" s="134">
        <f t="shared" ref="I22:J22" si="12">+I20-I21</f>
        <v>22675.053066792178</v>
      </c>
      <c r="J22" s="134">
        <f t="shared" si="12"/>
        <v>-12655.670550329018</v>
      </c>
      <c r="K22" s="135">
        <f>+SUM(H22:J22)</f>
        <v>115562.85500000043</v>
      </c>
      <c r="M22" s="133" t="s">
        <v>118</v>
      </c>
      <c r="N22" s="129">
        <f>+N20-N21</f>
        <v>98586.206491063087</v>
      </c>
      <c r="O22" s="129">
        <f t="shared" ref="O22:P22" si="13">+O20-O21</f>
        <v>22675.053066792178</v>
      </c>
      <c r="P22" s="96">
        <f t="shared" si="13"/>
        <v>80430.630291627574</v>
      </c>
      <c r="Q22" s="133">
        <f t="shared" si="10"/>
        <v>201691.88984948283</v>
      </c>
      <c r="S22" s="133" t="s">
        <v>118</v>
      </c>
      <c r="T22" s="134">
        <f>+T20-T21</f>
        <v>126614.94973569948</v>
      </c>
      <c r="U22" s="134">
        <f>+U20-U21</f>
        <v>27672.392264300328</v>
      </c>
      <c r="V22" s="135">
        <f>+SUM(T22:U22)</f>
        <v>154287.3419999998</v>
      </c>
    </row>
    <row r="23" spans="2:22" x14ac:dyDescent="0.3">
      <c r="B23" s="50"/>
      <c r="D23" s="51"/>
      <c r="E23" s="51"/>
      <c r="G23" s="6"/>
      <c r="J23"/>
    </row>
    <row r="25" spans="2:22" x14ac:dyDescent="0.3">
      <c r="B25" s="137" t="s">
        <v>121</v>
      </c>
      <c r="C25" s="6">
        <f>+C6*0.94</f>
        <v>68.61999999999999</v>
      </c>
      <c r="D25" s="6">
        <f t="shared" ref="D25" si="14">+D6*0.94</f>
        <v>66.739999999999995</v>
      </c>
      <c r="G25" s="137" t="s">
        <v>121</v>
      </c>
      <c r="H25" s="6">
        <f>+H6*0.94</f>
        <v>68.61999999999999</v>
      </c>
      <c r="I25" s="6">
        <f t="shared" ref="I25:J25" si="15">+I6*0.94</f>
        <v>68.61999999999999</v>
      </c>
      <c r="J25" s="6">
        <f t="shared" si="15"/>
        <v>69.56</v>
      </c>
      <c r="K25">
        <f>+K7*0.06</f>
        <v>637.79999999999995</v>
      </c>
      <c r="M25" s="137" t="s">
        <v>121</v>
      </c>
      <c r="N25" s="6">
        <f>+N6*0.94</f>
        <v>65.8</v>
      </c>
      <c r="O25" s="6">
        <f t="shared" ref="O25:P25" si="16">+O6*0.94</f>
        <v>68.61999999999999</v>
      </c>
      <c r="P25" s="6">
        <f t="shared" si="16"/>
        <v>84.6</v>
      </c>
      <c r="S25" s="137" t="s">
        <v>121</v>
      </c>
      <c r="T25" s="6">
        <f>+T6*0.94</f>
        <v>68.61999999999999</v>
      </c>
      <c r="U25" s="6">
        <f t="shared" ref="U25" si="17">+U6*0.94</f>
        <v>69.56</v>
      </c>
    </row>
    <row r="26" spans="2:22" x14ac:dyDescent="0.3">
      <c r="B26" s="137" t="s">
        <v>122</v>
      </c>
      <c r="C26" s="6">
        <f>+C16/C5</f>
        <v>39814.033981734079</v>
      </c>
      <c r="D26" s="6">
        <f>+D16/D5</f>
        <v>42731.926879302926</v>
      </c>
      <c r="G26" s="137" t="s">
        <v>122</v>
      </c>
      <c r="H26" s="6">
        <f>+H16/H5</f>
        <v>39491.624176857949</v>
      </c>
      <c r="I26" s="6">
        <f t="shared" ref="I26:J26" si="18">+I16/I5</f>
        <v>42416.768163884248</v>
      </c>
      <c r="J26" s="6">
        <f t="shared" si="18"/>
        <v>46009.96635092613</v>
      </c>
      <c r="M26" s="137" t="s">
        <v>122</v>
      </c>
      <c r="N26" s="6">
        <f>+N16/N5</f>
        <v>37930.324553151455</v>
      </c>
      <c r="O26" s="6">
        <f t="shared" ref="O26:P26" si="19">+O16/O5</f>
        <v>42416.768163884248</v>
      </c>
      <c r="P26" s="6">
        <f t="shared" si="19"/>
        <v>58057.32204452806</v>
      </c>
      <c r="S26" s="137" t="s">
        <v>122</v>
      </c>
      <c r="T26" s="6">
        <f>+T16/T5</f>
        <v>38995.824712101188</v>
      </c>
      <c r="U26" s="6">
        <f>+U16/U5</f>
        <v>43977.066429733415</v>
      </c>
    </row>
    <row r="27" spans="2:22" x14ac:dyDescent="0.3">
      <c r="B27" s="137" t="s">
        <v>123</v>
      </c>
      <c r="C27" s="3">
        <v>41000</v>
      </c>
      <c r="D27" s="3">
        <v>45000</v>
      </c>
      <c r="G27" s="137" t="s">
        <v>123</v>
      </c>
      <c r="H27" s="3">
        <v>41000</v>
      </c>
      <c r="I27" s="6">
        <v>45000</v>
      </c>
      <c r="J27" s="6">
        <v>45000</v>
      </c>
      <c r="M27" s="137" t="s">
        <v>123</v>
      </c>
      <c r="N27" s="3">
        <v>41000</v>
      </c>
      <c r="O27" s="6">
        <v>45000</v>
      </c>
      <c r="P27" s="6">
        <v>60000</v>
      </c>
      <c r="S27" s="137" t="s">
        <v>123</v>
      </c>
      <c r="T27" s="3">
        <v>41000</v>
      </c>
      <c r="U27" s="6">
        <v>45000</v>
      </c>
    </row>
    <row r="28" spans="2:22" s="1" customFormat="1" x14ac:dyDescent="0.3">
      <c r="B28" s="137" t="s">
        <v>53</v>
      </c>
      <c r="C28" s="3">
        <f>+C27*C5</f>
        <v>2050000</v>
      </c>
      <c r="D28" s="3">
        <f t="shared" ref="D28" si="20">+D27*D5</f>
        <v>3015000</v>
      </c>
      <c r="E28" s="6">
        <f>+C28+D28</f>
        <v>5065000</v>
      </c>
      <c r="F28" s="6"/>
      <c r="G28" s="137" t="s">
        <v>53</v>
      </c>
      <c r="H28" s="3">
        <f>+H27*H5</f>
        <v>2050000</v>
      </c>
      <c r="I28" s="3">
        <f t="shared" ref="I28:J28" si="21">+I27*I5</f>
        <v>3015000</v>
      </c>
      <c r="J28" s="3">
        <f t="shared" si="21"/>
        <v>1305000</v>
      </c>
      <c r="K28" s="1">
        <f>+H28+I28+J28</f>
        <v>6370000</v>
      </c>
      <c r="M28" s="137" t="s">
        <v>53</v>
      </c>
      <c r="N28" s="3">
        <f>+N27*N5</f>
        <v>2050000</v>
      </c>
      <c r="O28" s="3">
        <f t="shared" ref="O28" si="22">+O27*O5</f>
        <v>3015000</v>
      </c>
      <c r="P28" s="3">
        <f t="shared" ref="P28" si="23">+P27*P5</f>
        <v>1440000</v>
      </c>
      <c r="Q28" s="1">
        <f>+N28+O28+P28</f>
        <v>6505000</v>
      </c>
      <c r="S28" s="137" t="s">
        <v>53</v>
      </c>
      <c r="T28" s="3">
        <f>+T27*T5</f>
        <v>2050000</v>
      </c>
      <c r="U28" s="3">
        <f>+U27*U5</f>
        <v>4230000</v>
      </c>
      <c r="V28" s="1">
        <f>+T28+U28</f>
        <v>6280000</v>
      </c>
    </row>
    <row r="29" spans="2:22" x14ac:dyDescent="0.3">
      <c r="C29" s="17">
        <f>+C27/C6</f>
        <v>561.64383561643831</v>
      </c>
      <c r="D29" s="17">
        <f>+D27/D6</f>
        <v>633.80281690140851</v>
      </c>
      <c r="E29" s="16">
        <f>+E28-E16</f>
        <v>211259.20000000019</v>
      </c>
      <c r="H29" s="17">
        <f>+H27/H6</f>
        <v>561.64383561643831</v>
      </c>
      <c r="I29" s="17">
        <f>+I27/I6</f>
        <v>616.43835616438355</v>
      </c>
      <c r="J29" s="17">
        <f>+J27/J6</f>
        <v>608.10810810810813</v>
      </c>
      <c r="K29" s="16">
        <f>+K28-K16</f>
        <v>219206.30000000075</v>
      </c>
      <c r="N29" s="17">
        <f>+N27/N6</f>
        <v>585.71428571428567</v>
      </c>
      <c r="O29" s="17">
        <f>+O27/O6</f>
        <v>616.43835616438355</v>
      </c>
      <c r="P29" s="17">
        <f>+P27/P6</f>
        <v>666.66666666666663</v>
      </c>
      <c r="Q29" s="16">
        <f>+Q28-Q16</f>
        <v>373184.57629350945</v>
      </c>
      <c r="T29" s="17">
        <f>+T27/T6</f>
        <v>561.64383561643831</v>
      </c>
      <c r="U29" s="17">
        <f>+U27/U6</f>
        <v>608.10810810810813</v>
      </c>
      <c r="V29" s="16">
        <f>+V28-V16</f>
        <v>196364.51999999955</v>
      </c>
    </row>
    <row r="30" spans="2:22" x14ac:dyDescent="0.3">
      <c r="C30" s="6">
        <f>+C27-C26</f>
        <v>1185.9660182659209</v>
      </c>
      <c r="D30" s="6">
        <f>+D27-D26</f>
        <v>2268.073120697074</v>
      </c>
      <c r="H30" s="6">
        <f>+H27-H26</f>
        <v>1508.3758231420506</v>
      </c>
      <c r="I30" s="6">
        <f>+I27-I26</f>
        <v>2583.2318361157522</v>
      </c>
      <c r="J30" s="6">
        <f>+J27-J26</f>
        <v>-1009.96635092613</v>
      </c>
      <c r="N30" s="6">
        <f>+N27-N26</f>
        <v>3069.6754468485451</v>
      </c>
      <c r="O30" s="6">
        <f>+O27-O26</f>
        <v>2583.2318361157522</v>
      </c>
      <c r="P30" s="6">
        <f>+P27-P26</f>
        <v>1942.6779554719396</v>
      </c>
      <c r="T30" s="6">
        <f>+T27-T26</f>
        <v>2004.1752878988118</v>
      </c>
      <c r="U30" s="6">
        <f>+U27-U26</f>
        <v>1022.9335702665849</v>
      </c>
    </row>
    <row r="31" spans="2:22" x14ac:dyDescent="0.3">
      <c r="C31" s="6">
        <f>+C30*C5</f>
        <v>59298.300913296043</v>
      </c>
      <c r="D31" s="6">
        <f t="shared" ref="D31" si="24">+D30*D5</f>
        <v>151960.89908670395</v>
      </c>
      <c r="H31" s="6">
        <f>+H30*H5</f>
        <v>75418.791157102532</v>
      </c>
      <c r="I31" s="6">
        <f t="shared" ref="I31:J31" si="25">+I30*I5</f>
        <v>173076.53301975538</v>
      </c>
      <c r="J31" s="6">
        <f t="shared" si="25"/>
        <v>-29289.024176857769</v>
      </c>
      <c r="N31" s="6">
        <f>+N30*N5</f>
        <v>153483.77234242726</v>
      </c>
      <c r="O31" s="6">
        <f t="shared" ref="O31" si="26">+O30*O5</f>
        <v>173076.53301975538</v>
      </c>
      <c r="P31" s="6">
        <f t="shared" ref="P31" si="27">+P30*P5</f>
        <v>46624.270931326551</v>
      </c>
      <c r="T31" s="6">
        <f>+T30*T5</f>
        <v>100208.76439494059</v>
      </c>
      <c r="U31" s="6">
        <f t="shared" ref="U31" si="28">+U30*U5</f>
        <v>96155.755605058977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687C-752E-4B01-B59F-247C6CBE03CC}">
  <dimension ref="A1:U75"/>
  <sheetViews>
    <sheetView tabSelected="1" zoomScale="85" zoomScaleNormal="85" workbookViewId="0">
      <selection activeCell="D2" sqref="D2"/>
    </sheetView>
  </sheetViews>
  <sheetFormatPr defaultRowHeight="14.4" x14ac:dyDescent="0.3"/>
  <cols>
    <col min="1" max="1" width="8.88671875" style="1"/>
    <col min="2" max="2" width="14.44140625" style="3" bestFit="1" customWidth="1"/>
    <col min="3" max="3" width="15.6640625" style="3" bestFit="1" customWidth="1"/>
    <col min="4" max="4" width="14.21875" style="140" bestFit="1" customWidth="1"/>
    <col min="5" max="5" width="10.44140625" style="140" bestFit="1" customWidth="1"/>
    <col min="6" max="6" width="12.88671875" style="140" bestFit="1" customWidth="1"/>
    <col min="7" max="7" width="11.44140625" style="140" customWidth="1"/>
    <col min="8" max="8" width="14.5546875" style="140" bestFit="1" customWidth="1"/>
    <col min="9" max="12" width="14.5546875" style="140" customWidth="1"/>
    <col min="13" max="13" width="18" style="140" bestFit="1" customWidth="1"/>
    <col min="14" max="14" width="8.88671875" style="2"/>
    <col min="15" max="15" width="12.88671875" style="2" bestFit="1" customWidth="1"/>
  </cols>
  <sheetData>
    <row r="1" spans="1:21" s="138" customFormat="1" x14ac:dyDescent="0.3">
      <c r="A1" s="139"/>
      <c r="B1" s="5" t="s">
        <v>124</v>
      </c>
      <c r="C1" s="5" t="s">
        <v>130</v>
      </c>
      <c r="D1" s="5" t="s">
        <v>131</v>
      </c>
      <c r="E1" s="142" t="s">
        <v>125</v>
      </c>
      <c r="F1" s="142" t="s">
        <v>5</v>
      </c>
      <c r="G1" s="142" t="s">
        <v>127</v>
      </c>
      <c r="H1" s="142" t="s">
        <v>126</v>
      </c>
      <c r="I1" s="142" t="s">
        <v>23</v>
      </c>
      <c r="J1" s="142" t="s">
        <v>128</v>
      </c>
      <c r="K1" s="142" t="s">
        <v>129</v>
      </c>
      <c r="L1" s="142" t="s">
        <v>122</v>
      </c>
      <c r="M1" s="142" t="s">
        <v>132</v>
      </c>
      <c r="N1" s="4"/>
      <c r="O1" s="4"/>
    </row>
    <row r="2" spans="1:21" x14ac:dyDescent="0.3">
      <c r="B2" s="3">
        <v>46</v>
      </c>
      <c r="C2" s="141">
        <v>0.95</v>
      </c>
      <c r="D2" s="140">
        <f>+B2*C2</f>
        <v>43.699999999999996</v>
      </c>
      <c r="E2" s="140">
        <v>530</v>
      </c>
      <c r="F2" s="140">
        <f>+B2*E2</f>
        <v>24380</v>
      </c>
      <c r="G2" s="140">
        <f>+B2-D2</f>
        <v>2.3000000000000043</v>
      </c>
      <c r="H2" s="140">
        <f>+E2*G2</f>
        <v>1219.0000000000023</v>
      </c>
      <c r="I2" s="140">
        <f>+($T$2*B2)/$B$70</f>
        <v>721.57617334560348</v>
      </c>
      <c r="J2" s="140">
        <f>+(B2*$T$3)/$B$70</f>
        <v>654.69921665573816</v>
      </c>
      <c r="K2" s="140">
        <f>+(B2*$T$6)/$B$70</f>
        <v>327.34960832786908</v>
      </c>
      <c r="L2" s="140">
        <f>+SUM(F2+H2+I2+J2+K2)</f>
        <v>27302.624998329215</v>
      </c>
      <c r="M2" s="140">
        <f>+L2/B2</f>
        <v>593.53532605063515</v>
      </c>
      <c r="N2" s="2">
        <v>625</v>
      </c>
      <c r="O2" s="3">
        <f>+D2*N2</f>
        <v>27312.499999999996</v>
      </c>
      <c r="T2">
        <v>75000</v>
      </c>
      <c r="U2">
        <v>5000</v>
      </c>
    </row>
    <row r="3" spans="1:21" x14ac:dyDescent="0.3">
      <c r="B3" s="3">
        <v>57.7</v>
      </c>
      <c r="C3" s="141">
        <v>0.95</v>
      </c>
      <c r="D3" s="140">
        <f t="shared" ref="D3:D66" si="0">+B3*C3</f>
        <v>54.814999999999998</v>
      </c>
      <c r="E3" s="140">
        <v>530</v>
      </c>
      <c r="F3" s="140">
        <f t="shared" ref="F3:F66" si="1">+B3*E3</f>
        <v>30581</v>
      </c>
      <c r="G3" s="140">
        <f t="shared" ref="G3:G66" si="2">+B3-D3</f>
        <v>2.8850000000000051</v>
      </c>
      <c r="H3" s="140">
        <f t="shared" ref="H3:H66" si="3">+E3*G3</f>
        <v>1529.0500000000027</v>
      </c>
      <c r="I3" s="140">
        <f>+($T$2*B3)/$B$70</f>
        <v>905.1075043922026</v>
      </c>
      <c r="J3" s="140">
        <f>+(B3*$T$3)/$B$70</f>
        <v>821.22053915295851</v>
      </c>
      <c r="K3" s="140">
        <f>+(B3*$T$6)/$B$70</f>
        <v>410.61026957647925</v>
      </c>
      <c r="L3" s="140">
        <f t="shared" ref="L3:L66" si="4">+SUM(F3+H3+I3+J3+K3)</f>
        <v>34246.988313121641</v>
      </c>
      <c r="M3" s="140">
        <f t="shared" ref="M3:M66" si="5">+L3/B3</f>
        <v>593.53532605063504</v>
      </c>
      <c r="N3" s="2">
        <v>625</v>
      </c>
      <c r="O3" s="3">
        <f>+D3*N3</f>
        <v>34259.375</v>
      </c>
      <c r="T3">
        <v>68048.867275530778</v>
      </c>
    </row>
    <row r="4" spans="1:21" x14ac:dyDescent="0.3">
      <c r="B4" s="3">
        <v>58</v>
      </c>
      <c r="C4" s="141">
        <v>0.95</v>
      </c>
      <c r="D4" s="140">
        <f t="shared" si="0"/>
        <v>55.099999999999994</v>
      </c>
      <c r="E4" s="140">
        <v>530</v>
      </c>
      <c r="F4" s="140">
        <f t="shared" si="1"/>
        <v>30740</v>
      </c>
      <c r="G4" s="140">
        <f t="shared" si="2"/>
        <v>2.9000000000000057</v>
      </c>
      <c r="H4" s="140">
        <f t="shared" si="3"/>
        <v>1537.000000000003</v>
      </c>
      <c r="I4" s="140">
        <f>+($T$2*B4)/$B$70</f>
        <v>909.81343595750002</v>
      </c>
      <c r="J4" s="140">
        <f>+(B4*$T$3)/$B$70</f>
        <v>825.49031665288726</v>
      </c>
      <c r="K4" s="140">
        <f>+(B4*$T$6)/$B$70</f>
        <v>412.74515832644363</v>
      </c>
      <c r="L4" s="140">
        <f t="shared" si="4"/>
        <v>34425.048910936835</v>
      </c>
      <c r="M4" s="140">
        <f t="shared" si="5"/>
        <v>593.53532605063515</v>
      </c>
      <c r="N4" s="2">
        <v>625</v>
      </c>
      <c r="O4" s="3">
        <f>+D4*N4</f>
        <v>34437.5</v>
      </c>
      <c r="T4">
        <v>17012.216818882694</v>
      </c>
    </row>
    <row r="5" spans="1:21" x14ac:dyDescent="0.3">
      <c r="B5" s="10">
        <v>58</v>
      </c>
      <c r="C5" s="141">
        <v>0.95</v>
      </c>
      <c r="D5" s="140">
        <f t="shared" si="0"/>
        <v>55.099999999999994</v>
      </c>
      <c r="E5" s="140">
        <v>530</v>
      </c>
      <c r="F5" s="140">
        <f t="shared" si="1"/>
        <v>30740</v>
      </c>
      <c r="G5" s="140">
        <f t="shared" si="2"/>
        <v>2.9000000000000057</v>
      </c>
      <c r="H5" s="140">
        <f t="shared" si="3"/>
        <v>1537.000000000003</v>
      </c>
      <c r="I5" s="140">
        <f>+($T$2*B5)/$B$70</f>
        <v>909.81343595750002</v>
      </c>
      <c r="J5" s="140">
        <f>+(B5*$T$3)/$B$70</f>
        <v>825.49031665288726</v>
      </c>
      <c r="K5" s="140">
        <f>+(B5*$T$6)/$B$70</f>
        <v>412.74515832644363</v>
      </c>
      <c r="L5" s="140">
        <f t="shared" si="4"/>
        <v>34425.048910936835</v>
      </c>
      <c r="M5" s="140">
        <f t="shared" si="5"/>
        <v>593.53532605063515</v>
      </c>
      <c r="N5" s="2">
        <v>625</v>
      </c>
      <c r="O5" s="3">
        <f>+D5*N5</f>
        <v>34437.5</v>
      </c>
      <c r="T5">
        <v>17012.216818882694</v>
      </c>
    </row>
    <row r="6" spans="1:21" x14ac:dyDescent="0.3">
      <c r="B6" s="10">
        <v>58</v>
      </c>
      <c r="C6" s="141">
        <v>0.95</v>
      </c>
      <c r="D6" s="140">
        <f t="shared" si="0"/>
        <v>55.099999999999994</v>
      </c>
      <c r="E6" s="140">
        <v>530</v>
      </c>
      <c r="F6" s="140">
        <f t="shared" si="1"/>
        <v>30740</v>
      </c>
      <c r="G6" s="140">
        <f t="shared" si="2"/>
        <v>2.9000000000000057</v>
      </c>
      <c r="H6" s="140">
        <f t="shared" si="3"/>
        <v>1537.000000000003</v>
      </c>
      <c r="I6" s="140">
        <f>+($T$2*B6)/$B$70</f>
        <v>909.81343595750002</v>
      </c>
      <c r="J6" s="140">
        <f>+(B6*$T$3)/$B$70</f>
        <v>825.49031665288726</v>
      </c>
      <c r="K6" s="140">
        <f>+(B6*$T$6)/$B$70</f>
        <v>412.74515832644363</v>
      </c>
      <c r="L6" s="140">
        <f t="shared" si="4"/>
        <v>34425.048910936835</v>
      </c>
      <c r="M6" s="140">
        <f t="shared" si="5"/>
        <v>593.53532605063515</v>
      </c>
      <c r="N6" s="2">
        <v>625</v>
      </c>
      <c r="O6" s="3">
        <f>+D6*N6</f>
        <v>34437.5</v>
      </c>
      <c r="T6">
        <f>+T4+T5</f>
        <v>34024.433637765389</v>
      </c>
    </row>
    <row r="7" spans="1:21" x14ac:dyDescent="0.3">
      <c r="B7" s="3">
        <v>59</v>
      </c>
      <c r="C7" s="141">
        <v>0.95</v>
      </c>
      <c r="D7" s="140">
        <f t="shared" si="0"/>
        <v>56.05</v>
      </c>
      <c r="E7" s="140">
        <v>530</v>
      </c>
      <c r="F7" s="140">
        <f t="shared" si="1"/>
        <v>31270</v>
      </c>
      <c r="G7" s="140">
        <f t="shared" si="2"/>
        <v>2.9500000000000028</v>
      </c>
      <c r="H7" s="140">
        <f t="shared" si="3"/>
        <v>1563.5000000000016</v>
      </c>
      <c r="I7" s="140">
        <f>+($T$2*B7)/$B$70</f>
        <v>925.49987450849142</v>
      </c>
      <c r="J7" s="140">
        <f>+(B7*$T$3)/$B$70</f>
        <v>839.72290831931639</v>
      </c>
      <c r="K7" s="140">
        <f>+(B7*$T$6)/$B$70</f>
        <v>419.86145415965819</v>
      </c>
      <c r="L7" s="140">
        <f t="shared" si="4"/>
        <v>35018.584236987466</v>
      </c>
      <c r="M7" s="140">
        <f t="shared" si="5"/>
        <v>593.53532605063504</v>
      </c>
      <c r="N7" s="2">
        <v>625</v>
      </c>
      <c r="O7" s="3">
        <f>+D7*N7</f>
        <v>35031.25</v>
      </c>
    </row>
    <row r="8" spans="1:21" x14ac:dyDescent="0.3">
      <c r="B8" s="3">
        <v>60.5</v>
      </c>
      <c r="C8" s="141">
        <v>0.95</v>
      </c>
      <c r="D8" s="140">
        <f t="shared" si="0"/>
        <v>57.474999999999994</v>
      </c>
      <c r="E8" s="140">
        <v>530</v>
      </c>
      <c r="F8" s="140">
        <f t="shared" si="1"/>
        <v>32065</v>
      </c>
      <c r="G8" s="140">
        <f t="shared" si="2"/>
        <v>3.0250000000000057</v>
      </c>
      <c r="H8" s="140">
        <f t="shared" si="3"/>
        <v>1603.250000000003</v>
      </c>
      <c r="I8" s="140">
        <f>+($T$2*B8)/$B$70</f>
        <v>949.02953233497851</v>
      </c>
      <c r="J8" s="140">
        <f>+(B8*$T$3)/$B$70</f>
        <v>861.07179581896003</v>
      </c>
      <c r="K8" s="140">
        <f>+(B8*$T$6)/$B$70</f>
        <v>430.53589790948001</v>
      </c>
      <c r="L8" s="140">
        <f t="shared" si="4"/>
        <v>35908.887226063423</v>
      </c>
      <c r="M8" s="140">
        <f t="shared" si="5"/>
        <v>593.53532605063515</v>
      </c>
      <c r="N8" s="2">
        <v>625</v>
      </c>
      <c r="O8" s="3">
        <f>+D8*N8</f>
        <v>35921.875</v>
      </c>
    </row>
    <row r="9" spans="1:21" x14ac:dyDescent="0.3">
      <c r="B9" s="3">
        <v>60.5</v>
      </c>
      <c r="C9" s="141">
        <v>0.95</v>
      </c>
      <c r="D9" s="140">
        <f t="shared" si="0"/>
        <v>57.474999999999994</v>
      </c>
      <c r="E9" s="140">
        <v>530</v>
      </c>
      <c r="F9" s="140">
        <f t="shared" si="1"/>
        <v>32065</v>
      </c>
      <c r="G9" s="140">
        <f t="shared" si="2"/>
        <v>3.0250000000000057</v>
      </c>
      <c r="H9" s="140">
        <f t="shared" si="3"/>
        <v>1603.250000000003</v>
      </c>
      <c r="I9" s="140">
        <f>+($T$2*B9)/$B$70</f>
        <v>949.02953233497851</v>
      </c>
      <c r="J9" s="140">
        <f>+(B9*$T$3)/$B$70</f>
        <v>861.07179581896003</v>
      </c>
      <c r="K9" s="140">
        <f>+(B9*$T$6)/$B$70</f>
        <v>430.53589790948001</v>
      </c>
      <c r="L9" s="140">
        <f t="shared" si="4"/>
        <v>35908.887226063423</v>
      </c>
      <c r="M9" s="140">
        <f t="shared" si="5"/>
        <v>593.53532605063515</v>
      </c>
      <c r="N9" s="2">
        <v>625</v>
      </c>
      <c r="O9" s="3">
        <f>+D9*N9</f>
        <v>35921.875</v>
      </c>
    </row>
    <row r="10" spans="1:21" x14ac:dyDescent="0.3">
      <c r="B10" s="3">
        <v>60.5</v>
      </c>
      <c r="C10" s="141">
        <v>0.95</v>
      </c>
      <c r="D10" s="140">
        <f t="shared" si="0"/>
        <v>57.474999999999994</v>
      </c>
      <c r="E10" s="140">
        <v>530</v>
      </c>
      <c r="F10" s="140">
        <f t="shared" si="1"/>
        <v>32065</v>
      </c>
      <c r="G10" s="140">
        <f t="shared" si="2"/>
        <v>3.0250000000000057</v>
      </c>
      <c r="H10" s="140">
        <f t="shared" si="3"/>
        <v>1603.250000000003</v>
      </c>
      <c r="I10" s="140">
        <f>+($T$2*B10)/$B$70</f>
        <v>949.02953233497851</v>
      </c>
      <c r="J10" s="140">
        <f>+(B10*$T$3)/$B$70</f>
        <v>861.07179581896003</v>
      </c>
      <c r="K10" s="140">
        <f>+(B10*$T$6)/$B$70</f>
        <v>430.53589790948001</v>
      </c>
      <c r="L10" s="140">
        <f t="shared" si="4"/>
        <v>35908.887226063423</v>
      </c>
      <c r="M10" s="140">
        <f t="shared" si="5"/>
        <v>593.53532605063515</v>
      </c>
      <c r="N10" s="2">
        <v>625</v>
      </c>
      <c r="O10" s="3">
        <f>+D10*N10</f>
        <v>35921.875</v>
      </c>
    </row>
    <row r="11" spans="1:21" x14ac:dyDescent="0.3">
      <c r="B11" s="3">
        <v>61</v>
      </c>
      <c r="C11" s="141">
        <v>0.95</v>
      </c>
      <c r="D11" s="140">
        <f t="shared" si="0"/>
        <v>57.949999999999996</v>
      </c>
      <c r="E11" s="140">
        <v>530</v>
      </c>
      <c r="F11" s="140">
        <f t="shared" si="1"/>
        <v>32330</v>
      </c>
      <c r="G11" s="140">
        <f t="shared" si="2"/>
        <v>3.0500000000000043</v>
      </c>
      <c r="H11" s="140">
        <f t="shared" si="3"/>
        <v>1616.5000000000023</v>
      </c>
      <c r="I11" s="140">
        <f>+($T$2*B11)/$B$70</f>
        <v>956.87275161047421</v>
      </c>
      <c r="J11" s="140">
        <f>+(B11*$T$3)/$B$70</f>
        <v>868.18809165217453</v>
      </c>
      <c r="K11" s="140">
        <f>+(B11*$T$6)/$B$70</f>
        <v>434.09404582608727</v>
      </c>
      <c r="L11" s="140">
        <f t="shared" si="4"/>
        <v>36205.654889088742</v>
      </c>
      <c r="M11" s="140">
        <f t="shared" si="5"/>
        <v>593.53532605063515</v>
      </c>
      <c r="N11" s="2">
        <v>625</v>
      </c>
      <c r="O11" s="3">
        <f>+D11*N11</f>
        <v>36218.75</v>
      </c>
    </row>
    <row r="12" spans="1:21" x14ac:dyDescent="0.3">
      <c r="B12" s="3">
        <v>61</v>
      </c>
      <c r="C12" s="141">
        <v>0.95</v>
      </c>
      <c r="D12" s="140">
        <f t="shared" si="0"/>
        <v>57.949999999999996</v>
      </c>
      <c r="E12" s="140">
        <v>530</v>
      </c>
      <c r="F12" s="140">
        <f t="shared" si="1"/>
        <v>32330</v>
      </c>
      <c r="G12" s="140">
        <f t="shared" si="2"/>
        <v>3.0500000000000043</v>
      </c>
      <c r="H12" s="140">
        <f t="shared" si="3"/>
        <v>1616.5000000000023</v>
      </c>
      <c r="I12" s="140">
        <f>+($T$2*B12)/$B$70</f>
        <v>956.87275161047421</v>
      </c>
      <c r="J12" s="140">
        <f>+(B12*$T$3)/$B$70</f>
        <v>868.18809165217453</v>
      </c>
      <c r="K12" s="140">
        <f>+(B12*$T$6)/$B$70</f>
        <v>434.09404582608727</v>
      </c>
      <c r="L12" s="140">
        <f t="shared" si="4"/>
        <v>36205.654889088742</v>
      </c>
      <c r="M12" s="140">
        <f t="shared" si="5"/>
        <v>593.53532605063515</v>
      </c>
      <c r="N12" s="2">
        <v>625</v>
      </c>
      <c r="O12" s="3">
        <f>+D12*N12</f>
        <v>36218.75</v>
      </c>
    </row>
    <row r="13" spans="1:21" x14ac:dyDescent="0.3">
      <c r="B13" s="3">
        <v>62</v>
      </c>
      <c r="C13" s="141">
        <v>0.95</v>
      </c>
      <c r="D13" s="140">
        <f t="shared" si="0"/>
        <v>58.9</v>
      </c>
      <c r="E13" s="140">
        <v>530</v>
      </c>
      <c r="F13" s="140">
        <f t="shared" si="1"/>
        <v>32860</v>
      </c>
      <c r="G13" s="140">
        <f t="shared" si="2"/>
        <v>3.1000000000000014</v>
      </c>
      <c r="H13" s="140">
        <f t="shared" si="3"/>
        <v>1643.0000000000007</v>
      </c>
      <c r="I13" s="140">
        <f>+($T$2*B13)/$B$70</f>
        <v>972.55919016146561</v>
      </c>
      <c r="J13" s="140">
        <f>+(B13*$T$3)/$B$70</f>
        <v>882.42068331860355</v>
      </c>
      <c r="K13" s="140">
        <f>+(B13*$T$6)/$B$70</f>
        <v>441.21034165930178</v>
      </c>
      <c r="L13" s="140">
        <f t="shared" si="4"/>
        <v>36799.190215139373</v>
      </c>
      <c r="M13" s="140">
        <f t="shared" si="5"/>
        <v>593.53532605063504</v>
      </c>
      <c r="N13" s="2">
        <v>625</v>
      </c>
      <c r="O13" s="3">
        <f>+D13*N13</f>
        <v>36812.5</v>
      </c>
    </row>
    <row r="14" spans="1:21" x14ac:dyDescent="0.3">
      <c r="B14" s="3">
        <v>63</v>
      </c>
      <c r="C14" s="141">
        <v>0.95</v>
      </c>
      <c r="D14" s="140">
        <f t="shared" si="0"/>
        <v>59.849999999999994</v>
      </c>
      <c r="E14" s="140">
        <v>530</v>
      </c>
      <c r="F14" s="140">
        <f t="shared" si="1"/>
        <v>33390</v>
      </c>
      <c r="G14" s="140">
        <f t="shared" si="2"/>
        <v>3.1500000000000057</v>
      </c>
      <c r="H14" s="140">
        <f t="shared" si="3"/>
        <v>1669.500000000003</v>
      </c>
      <c r="I14" s="140">
        <f>+($T$2*B14)/$B$70</f>
        <v>988.24562871245701</v>
      </c>
      <c r="J14" s="140">
        <f>+(B14*$T$3)/$B$70</f>
        <v>896.65327498503279</v>
      </c>
      <c r="K14" s="140">
        <f>+(B14*$T$6)/$B$70</f>
        <v>448.3266374925164</v>
      </c>
      <c r="L14" s="140">
        <f t="shared" si="4"/>
        <v>37392.725541190004</v>
      </c>
      <c r="M14" s="140">
        <f t="shared" si="5"/>
        <v>593.53532605063504</v>
      </c>
      <c r="N14" s="2">
        <v>625</v>
      </c>
      <c r="O14" s="3">
        <f>+D14*N14</f>
        <v>37406.25</v>
      </c>
    </row>
    <row r="15" spans="1:21" x14ac:dyDescent="0.3">
      <c r="B15" s="3">
        <v>63</v>
      </c>
      <c r="C15" s="141">
        <v>0.95</v>
      </c>
      <c r="D15" s="140">
        <f t="shared" si="0"/>
        <v>59.849999999999994</v>
      </c>
      <c r="E15" s="140">
        <v>530</v>
      </c>
      <c r="F15" s="140">
        <f t="shared" si="1"/>
        <v>33390</v>
      </c>
      <c r="G15" s="140">
        <f t="shared" si="2"/>
        <v>3.1500000000000057</v>
      </c>
      <c r="H15" s="140">
        <f t="shared" si="3"/>
        <v>1669.500000000003</v>
      </c>
      <c r="I15" s="140">
        <f>+($T$2*B15)/$B$70</f>
        <v>988.24562871245701</v>
      </c>
      <c r="J15" s="140">
        <f>+(B15*$T$3)/$B$70</f>
        <v>896.65327498503279</v>
      </c>
      <c r="K15" s="140">
        <f>+(B15*$T$6)/$B$70</f>
        <v>448.3266374925164</v>
      </c>
      <c r="L15" s="140">
        <f t="shared" si="4"/>
        <v>37392.725541190004</v>
      </c>
      <c r="M15" s="140">
        <f t="shared" si="5"/>
        <v>593.53532605063504</v>
      </c>
      <c r="N15" s="2">
        <v>625</v>
      </c>
      <c r="O15" s="3">
        <f>+D15*N15</f>
        <v>37406.25</v>
      </c>
    </row>
    <row r="16" spans="1:21" x14ac:dyDescent="0.3">
      <c r="B16" s="10">
        <v>63</v>
      </c>
      <c r="C16" s="141">
        <v>0.95</v>
      </c>
      <c r="D16" s="140">
        <f t="shared" si="0"/>
        <v>59.849999999999994</v>
      </c>
      <c r="E16" s="140">
        <v>530</v>
      </c>
      <c r="F16" s="140">
        <f t="shared" si="1"/>
        <v>33390</v>
      </c>
      <c r="G16" s="140">
        <f t="shared" si="2"/>
        <v>3.1500000000000057</v>
      </c>
      <c r="H16" s="140">
        <f t="shared" si="3"/>
        <v>1669.500000000003</v>
      </c>
      <c r="I16" s="140">
        <f>+($T$2*B16)/$B$70</f>
        <v>988.24562871245701</v>
      </c>
      <c r="J16" s="140">
        <f>+(B16*$T$3)/$B$70</f>
        <v>896.65327498503279</v>
      </c>
      <c r="K16" s="140">
        <f>+(B16*$T$6)/$B$70</f>
        <v>448.3266374925164</v>
      </c>
      <c r="L16" s="140">
        <f t="shared" si="4"/>
        <v>37392.725541190004</v>
      </c>
      <c r="M16" s="140">
        <f t="shared" si="5"/>
        <v>593.53532605063504</v>
      </c>
      <c r="N16" s="2">
        <v>625</v>
      </c>
      <c r="O16" s="3">
        <f>+D16*N16</f>
        <v>37406.25</v>
      </c>
    </row>
    <row r="17" spans="1:15" x14ac:dyDescent="0.3">
      <c r="B17" s="3">
        <v>65</v>
      </c>
      <c r="C17" s="141">
        <v>0.95</v>
      </c>
      <c r="D17" s="140">
        <f t="shared" si="0"/>
        <v>61.75</v>
      </c>
      <c r="E17" s="140">
        <v>530</v>
      </c>
      <c r="F17" s="140">
        <f t="shared" si="1"/>
        <v>34450</v>
      </c>
      <c r="G17" s="140">
        <f t="shared" si="2"/>
        <v>3.25</v>
      </c>
      <c r="H17" s="140">
        <f t="shared" si="3"/>
        <v>1722.5</v>
      </c>
      <c r="I17" s="140">
        <f>+($T$2*B17)/$B$70</f>
        <v>1019.6185058144397</v>
      </c>
      <c r="J17" s="140">
        <f>+(B17*$T$3)/$B$70</f>
        <v>925.11845831789083</v>
      </c>
      <c r="K17" s="140">
        <f>+(B17*$T$6)/$B$70</f>
        <v>462.55922915894541</v>
      </c>
      <c r="L17" s="140">
        <f t="shared" si="4"/>
        <v>38579.796193291273</v>
      </c>
      <c r="M17" s="140">
        <f t="shared" si="5"/>
        <v>593.53532605063492</v>
      </c>
      <c r="N17" s="2">
        <v>625</v>
      </c>
      <c r="O17" s="3">
        <f>+D17*N17</f>
        <v>38593.75</v>
      </c>
    </row>
    <row r="18" spans="1:15" x14ac:dyDescent="0.3">
      <c r="B18" s="10">
        <v>65</v>
      </c>
      <c r="C18" s="141">
        <v>0.95</v>
      </c>
      <c r="D18" s="140">
        <f t="shared" si="0"/>
        <v>61.75</v>
      </c>
      <c r="E18" s="140">
        <v>530</v>
      </c>
      <c r="F18" s="140">
        <f t="shared" si="1"/>
        <v>34450</v>
      </c>
      <c r="G18" s="140">
        <f t="shared" si="2"/>
        <v>3.25</v>
      </c>
      <c r="H18" s="140">
        <f t="shared" si="3"/>
        <v>1722.5</v>
      </c>
      <c r="I18" s="140">
        <f>+($T$2*B18)/$B$70</f>
        <v>1019.6185058144397</v>
      </c>
      <c r="J18" s="140">
        <f>+(B18*$T$3)/$B$70</f>
        <v>925.11845831789083</v>
      </c>
      <c r="K18" s="140">
        <f>+(B18*$T$6)/$B$70</f>
        <v>462.55922915894541</v>
      </c>
      <c r="L18" s="140">
        <f t="shared" si="4"/>
        <v>38579.796193291273</v>
      </c>
      <c r="M18" s="140">
        <f t="shared" si="5"/>
        <v>593.53532605063492</v>
      </c>
      <c r="N18" s="2">
        <v>625</v>
      </c>
      <c r="O18" s="3">
        <f>+D18*N18</f>
        <v>38593.75</v>
      </c>
    </row>
    <row r="19" spans="1:15" x14ac:dyDescent="0.3">
      <c r="B19" s="10">
        <v>65</v>
      </c>
      <c r="C19" s="141">
        <v>0.95</v>
      </c>
      <c r="D19" s="140">
        <f t="shared" si="0"/>
        <v>61.75</v>
      </c>
      <c r="E19" s="140">
        <v>530</v>
      </c>
      <c r="F19" s="140">
        <f t="shared" si="1"/>
        <v>34450</v>
      </c>
      <c r="G19" s="140">
        <f t="shared" si="2"/>
        <v>3.25</v>
      </c>
      <c r="H19" s="140">
        <f t="shared" si="3"/>
        <v>1722.5</v>
      </c>
      <c r="I19" s="140">
        <f>+($T$2*B19)/$B$70</f>
        <v>1019.6185058144397</v>
      </c>
      <c r="J19" s="140">
        <f>+(B19*$T$3)/$B$70</f>
        <v>925.11845831789083</v>
      </c>
      <c r="K19" s="140">
        <f>+(B19*$T$6)/$B$70</f>
        <v>462.55922915894541</v>
      </c>
      <c r="L19" s="140">
        <f t="shared" si="4"/>
        <v>38579.796193291273</v>
      </c>
      <c r="M19" s="140">
        <f t="shared" si="5"/>
        <v>593.53532605063492</v>
      </c>
      <c r="N19" s="2">
        <v>625</v>
      </c>
      <c r="O19" s="3">
        <f>+D19*N19</f>
        <v>38593.75</v>
      </c>
    </row>
    <row r="20" spans="1:15" x14ac:dyDescent="0.3">
      <c r="B20" s="10">
        <v>65.5</v>
      </c>
      <c r="C20" s="141">
        <v>0.95</v>
      </c>
      <c r="D20" s="140">
        <f t="shared" si="0"/>
        <v>62.224999999999994</v>
      </c>
      <c r="E20" s="140">
        <v>530</v>
      </c>
      <c r="F20" s="140">
        <f t="shared" si="1"/>
        <v>34715</v>
      </c>
      <c r="G20" s="140">
        <f t="shared" si="2"/>
        <v>3.2750000000000057</v>
      </c>
      <c r="H20" s="140">
        <f t="shared" si="3"/>
        <v>1735.750000000003</v>
      </c>
      <c r="I20" s="140">
        <f>+($T$2*B20)/$B$70</f>
        <v>1027.4617250899355</v>
      </c>
      <c r="J20" s="140">
        <f>+(B20*$T$3)/$B$70</f>
        <v>932.23475415110534</v>
      </c>
      <c r="K20" s="140">
        <f>+(B20*$T$6)/$B$70</f>
        <v>466.11737707555267</v>
      </c>
      <c r="L20" s="140">
        <f t="shared" si="4"/>
        <v>38876.563856316592</v>
      </c>
      <c r="M20" s="140">
        <f t="shared" si="5"/>
        <v>593.53532605063504</v>
      </c>
      <c r="N20" s="2">
        <v>625</v>
      </c>
      <c r="O20" s="3">
        <f>+D20*N20</f>
        <v>38890.625</v>
      </c>
    </row>
    <row r="21" spans="1:15" x14ac:dyDescent="0.3">
      <c r="B21" s="3">
        <v>65.599999999999994</v>
      </c>
      <c r="C21" s="141">
        <v>0.95</v>
      </c>
      <c r="D21" s="140">
        <f t="shared" si="0"/>
        <v>62.319999999999993</v>
      </c>
      <c r="E21" s="140">
        <v>530</v>
      </c>
      <c r="F21" s="140">
        <f t="shared" si="1"/>
        <v>34768</v>
      </c>
      <c r="G21" s="140">
        <f t="shared" si="2"/>
        <v>3.2800000000000011</v>
      </c>
      <c r="H21" s="140">
        <f t="shared" si="3"/>
        <v>1738.4000000000005</v>
      </c>
      <c r="I21" s="140">
        <f>+($T$2*B21)/$B$70</f>
        <v>1029.0303689450345</v>
      </c>
      <c r="J21" s="140">
        <f>+(B21*$T$3)/$B$70</f>
        <v>933.65801331774821</v>
      </c>
      <c r="K21" s="140">
        <f>+(B21*$T$6)/$B$70</f>
        <v>466.82900665887411</v>
      </c>
      <c r="L21" s="140">
        <f t="shared" si="4"/>
        <v>38935.917388921662</v>
      </c>
      <c r="M21" s="140">
        <f t="shared" si="5"/>
        <v>593.53532605063515</v>
      </c>
      <c r="N21" s="2">
        <v>625</v>
      </c>
      <c r="O21" s="3">
        <f>+D21*N21</f>
        <v>38949.999999999993</v>
      </c>
    </row>
    <row r="22" spans="1:15" x14ac:dyDescent="0.3">
      <c r="B22" s="3">
        <v>65.7</v>
      </c>
      <c r="C22" s="141">
        <v>0.95</v>
      </c>
      <c r="D22" s="140">
        <f t="shared" si="0"/>
        <v>62.414999999999999</v>
      </c>
      <c r="E22" s="140">
        <v>530</v>
      </c>
      <c r="F22" s="140">
        <f t="shared" si="1"/>
        <v>34821</v>
      </c>
      <c r="G22" s="140">
        <f t="shared" si="2"/>
        <v>3.2850000000000037</v>
      </c>
      <c r="H22" s="140">
        <f t="shared" si="3"/>
        <v>1741.050000000002</v>
      </c>
      <c r="I22" s="140">
        <f>+($T$2*B22)/$B$70</f>
        <v>1030.5990128001338</v>
      </c>
      <c r="J22" s="140">
        <f>+(B22*$T$3)/$B$70</f>
        <v>935.08127248439121</v>
      </c>
      <c r="K22" s="140">
        <f>+(B22*$T$6)/$B$70</f>
        <v>467.5406362421956</v>
      </c>
      <c r="L22" s="140">
        <f t="shared" si="4"/>
        <v>38995.270921526724</v>
      </c>
      <c r="M22" s="140">
        <f t="shared" si="5"/>
        <v>593.53532605063504</v>
      </c>
      <c r="N22" s="2">
        <v>625</v>
      </c>
      <c r="O22" s="3">
        <f>+D22*N22</f>
        <v>39009.375</v>
      </c>
    </row>
    <row r="23" spans="1:15" x14ac:dyDescent="0.3">
      <c r="B23" s="3">
        <v>66</v>
      </c>
      <c r="C23" s="141">
        <v>0.95</v>
      </c>
      <c r="D23" s="140">
        <f t="shared" si="0"/>
        <v>62.699999999999996</v>
      </c>
      <c r="E23" s="140">
        <v>530</v>
      </c>
      <c r="F23" s="140">
        <f t="shared" si="1"/>
        <v>34980</v>
      </c>
      <c r="G23" s="140">
        <f t="shared" si="2"/>
        <v>3.3000000000000043</v>
      </c>
      <c r="H23" s="140">
        <f t="shared" si="3"/>
        <v>1749.0000000000023</v>
      </c>
      <c r="I23" s="140">
        <f>+($T$2*B23)/$B$70</f>
        <v>1035.3049443654311</v>
      </c>
      <c r="J23" s="140">
        <f>+(B23*$T$3)/$B$70</f>
        <v>939.35104998432007</v>
      </c>
      <c r="K23" s="140">
        <f>+(B23*$T$6)/$B$70</f>
        <v>469.67552499216004</v>
      </c>
      <c r="L23" s="140">
        <f t="shared" si="4"/>
        <v>39173.331519341911</v>
      </c>
      <c r="M23" s="140">
        <f t="shared" si="5"/>
        <v>593.53532605063504</v>
      </c>
      <c r="N23" s="2">
        <v>625</v>
      </c>
      <c r="O23" s="3">
        <f>+D23*N23</f>
        <v>39187.5</v>
      </c>
    </row>
    <row r="24" spans="1:15" x14ac:dyDescent="0.3">
      <c r="B24" s="3">
        <v>66.5</v>
      </c>
      <c r="C24" s="141">
        <v>0.95</v>
      </c>
      <c r="D24" s="140">
        <f t="shared" si="0"/>
        <v>63.174999999999997</v>
      </c>
      <c r="E24" s="140">
        <v>530</v>
      </c>
      <c r="F24" s="140">
        <f t="shared" si="1"/>
        <v>35245</v>
      </c>
      <c r="G24" s="140">
        <f t="shared" si="2"/>
        <v>3.3250000000000028</v>
      </c>
      <c r="H24" s="140">
        <f t="shared" si="3"/>
        <v>1762.2500000000016</v>
      </c>
      <c r="I24" s="140">
        <f>+($T$2*B24)/$B$70</f>
        <v>1043.1481636409269</v>
      </c>
      <c r="J24" s="140">
        <f>+(B24*$T$3)/$B$70</f>
        <v>946.46734581753458</v>
      </c>
      <c r="K24" s="140">
        <f>+(B24*$T$6)/$B$70</f>
        <v>473.23367290876729</v>
      </c>
      <c r="L24" s="140">
        <f t="shared" si="4"/>
        <v>39470.09918236723</v>
      </c>
      <c r="M24" s="140">
        <f t="shared" si="5"/>
        <v>593.53532605063504</v>
      </c>
      <c r="N24" s="2">
        <v>625</v>
      </c>
      <c r="O24" s="3">
        <f>+D24*N24</f>
        <v>39484.375</v>
      </c>
    </row>
    <row r="25" spans="1:15" x14ac:dyDescent="0.3">
      <c r="B25" s="3">
        <v>67</v>
      </c>
      <c r="C25" s="141">
        <v>0.95</v>
      </c>
      <c r="D25" s="140">
        <f t="shared" si="0"/>
        <v>63.65</v>
      </c>
      <c r="E25" s="140">
        <v>530</v>
      </c>
      <c r="F25" s="140">
        <f t="shared" si="1"/>
        <v>35510</v>
      </c>
      <c r="G25" s="140">
        <f t="shared" si="2"/>
        <v>3.3500000000000014</v>
      </c>
      <c r="H25" s="140">
        <f t="shared" si="3"/>
        <v>1775.5000000000007</v>
      </c>
      <c r="I25" s="140">
        <f>+($T$2*B25)/$B$70</f>
        <v>1050.9913829164225</v>
      </c>
      <c r="J25" s="140">
        <f>+(B25*$T$3)/$B$70</f>
        <v>953.58364165074909</v>
      </c>
      <c r="K25" s="140">
        <f>+(B25*$T$6)/$B$70</f>
        <v>476.79182082537454</v>
      </c>
      <c r="L25" s="140">
        <f t="shared" si="4"/>
        <v>39766.866845392549</v>
      </c>
      <c r="M25" s="140">
        <f t="shared" si="5"/>
        <v>593.53532605063504</v>
      </c>
      <c r="N25" s="2">
        <v>625</v>
      </c>
      <c r="O25" s="3">
        <f>+D25*N25</f>
        <v>39781.25</v>
      </c>
    </row>
    <row r="26" spans="1:15" x14ac:dyDescent="0.3">
      <c r="B26" s="10">
        <v>68</v>
      </c>
      <c r="C26" s="141">
        <v>0.95</v>
      </c>
      <c r="D26" s="140">
        <f t="shared" si="0"/>
        <v>64.599999999999994</v>
      </c>
      <c r="E26" s="140">
        <v>530</v>
      </c>
      <c r="F26" s="140">
        <f t="shared" si="1"/>
        <v>36040</v>
      </c>
      <c r="G26" s="140">
        <f t="shared" si="2"/>
        <v>3.4000000000000057</v>
      </c>
      <c r="H26" s="140">
        <f t="shared" si="3"/>
        <v>1802.000000000003</v>
      </c>
      <c r="I26" s="140">
        <f>+($T$2*B26)/$B$70</f>
        <v>1066.6778214674139</v>
      </c>
      <c r="J26" s="140">
        <f>+(B26*$T$3)/$B$70</f>
        <v>967.8162333171781</v>
      </c>
      <c r="K26" s="140">
        <f>+(B26*$T$6)/$B$70</f>
        <v>483.90811665858905</v>
      </c>
      <c r="L26" s="140">
        <f t="shared" si="4"/>
        <v>40360.40217144318</v>
      </c>
      <c r="M26" s="140">
        <f t="shared" si="5"/>
        <v>593.53532605063504</v>
      </c>
      <c r="N26" s="2">
        <v>625</v>
      </c>
      <c r="O26" s="3">
        <f>+D26*N26</f>
        <v>40375</v>
      </c>
    </row>
    <row r="27" spans="1:15" x14ac:dyDescent="0.3">
      <c r="B27" s="10">
        <v>68</v>
      </c>
      <c r="C27" s="141">
        <v>0.95</v>
      </c>
      <c r="D27" s="140">
        <f t="shared" si="0"/>
        <v>64.599999999999994</v>
      </c>
      <c r="E27" s="140">
        <v>530</v>
      </c>
      <c r="F27" s="140">
        <f t="shared" si="1"/>
        <v>36040</v>
      </c>
      <c r="G27" s="140">
        <f t="shared" si="2"/>
        <v>3.4000000000000057</v>
      </c>
      <c r="H27" s="140">
        <f t="shared" si="3"/>
        <v>1802.000000000003</v>
      </c>
      <c r="I27" s="140">
        <f>+($T$2*B27)/$B$70</f>
        <v>1066.6778214674139</v>
      </c>
      <c r="J27" s="140">
        <f>+(B27*$T$3)/$B$70</f>
        <v>967.8162333171781</v>
      </c>
      <c r="K27" s="140">
        <f>+(B27*$T$6)/$B$70</f>
        <v>483.90811665858905</v>
      </c>
      <c r="L27" s="140">
        <f t="shared" si="4"/>
        <v>40360.40217144318</v>
      </c>
      <c r="M27" s="140">
        <f t="shared" si="5"/>
        <v>593.53532605063504</v>
      </c>
      <c r="N27" s="2">
        <v>625</v>
      </c>
      <c r="O27" s="3">
        <f>+D27*N27</f>
        <v>40375</v>
      </c>
    </row>
    <row r="28" spans="1:15" x14ac:dyDescent="0.3">
      <c r="A28" s="139"/>
      <c r="B28" s="10">
        <v>68</v>
      </c>
      <c r="C28" s="141">
        <v>0.95</v>
      </c>
      <c r="D28" s="140">
        <f t="shared" si="0"/>
        <v>64.599999999999994</v>
      </c>
      <c r="E28" s="140">
        <v>530</v>
      </c>
      <c r="F28" s="140">
        <f t="shared" si="1"/>
        <v>36040</v>
      </c>
      <c r="G28" s="140">
        <f t="shared" si="2"/>
        <v>3.4000000000000057</v>
      </c>
      <c r="H28" s="140">
        <f t="shared" si="3"/>
        <v>1802.000000000003</v>
      </c>
      <c r="I28" s="140">
        <f>+($T$2*B28)/$B$70</f>
        <v>1066.6778214674139</v>
      </c>
      <c r="J28" s="140">
        <f>+(B28*$T$3)/$B$70</f>
        <v>967.8162333171781</v>
      </c>
      <c r="K28" s="140">
        <f>+(B28*$T$6)/$B$70</f>
        <v>483.90811665858905</v>
      </c>
      <c r="L28" s="140">
        <f t="shared" si="4"/>
        <v>40360.40217144318</v>
      </c>
      <c r="M28" s="140">
        <f t="shared" si="5"/>
        <v>593.53532605063504</v>
      </c>
      <c r="N28" s="2">
        <v>625</v>
      </c>
      <c r="O28" s="3">
        <f>+D28*N28</f>
        <v>40375</v>
      </c>
    </row>
    <row r="29" spans="1:15" x14ac:dyDescent="0.3">
      <c r="B29" s="10">
        <v>68</v>
      </c>
      <c r="C29" s="141">
        <v>0.95</v>
      </c>
      <c r="D29" s="140">
        <f t="shared" si="0"/>
        <v>64.599999999999994</v>
      </c>
      <c r="E29" s="140">
        <v>530</v>
      </c>
      <c r="F29" s="140">
        <f t="shared" si="1"/>
        <v>36040</v>
      </c>
      <c r="G29" s="140">
        <f t="shared" si="2"/>
        <v>3.4000000000000057</v>
      </c>
      <c r="H29" s="140">
        <f t="shared" si="3"/>
        <v>1802.000000000003</v>
      </c>
      <c r="I29" s="140">
        <f>+($T$2*B29)/$B$70</f>
        <v>1066.6778214674139</v>
      </c>
      <c r="J29" s="140">
        <f>+(B29*$T$3)/$B$70</f>
        <v>967.8162333171781</v>
      </c>
      <c r="K29" s="140">
        <f>+(B29*$T$6)/$B$70</f>
        <v>483.90811665858905</v>
      </c>
      <c r="L29" s="140">
        <f t="shared" si="4"/>
        <v>40360.40217144318</v>
      </c>
      <c r="M29" s="140">
        <f t="shared" si="5"/>
        <v>593.53532605063504</v>
      </c>
      <c r="N29" s="2">
        <v>625</v>
      </c>
      <c r="O29" s="3">
        <f>+D29*N29</f>
        <v>40375</v>
      </c>
    </row>
    <row r="30" spans="1:15" x14ac:dyDescent="0.3">
      <c r="B30" s="3">
        <v>69</v>
      </c>
      <c r="C30" s="141">
        <v>0.95</v>
      </c>
      <c r="D30" s="140">
        <f t="shared" si="0"/>
        <v>65.55</v>
      </c>
      <c r="E30" s="140">
        <v>530</v>
      </c>
      <c r="F30" s="140">
        <f t="shared" si="1"/>
        <v>36570</v>
      </c>
      <c r="G30" s="140">
        <f t="shared" si="2"/>
        <v>3.4500000000000028</v>
      </c>
      <c r="H30" s="140">
        <f t="shared" si="3"/>
        <v>1828.5000000000016</v>
      </c>
      <c r="I30" s="140">
        <f>+($T$2*B30)/$B$70</f>
        <v>1082.3642600184053</v>
      </c>
      <c r="J30" s="140">
        <f>+(B30*$T$3)/$B$70</f>
        <v>982.04882498360735</v>
      </c>
      <c r="K30" s="140">
        <f>+(B30*$T$6)/$B$70</f>
        <v>491.02441249180367</v>
      </c>
      <c r="L30" s="140">
        <f t="shared" si="4"/>
        <v>40953.937497493811</v>
      </c>
      <c r="M30" s="140">
        <f t="shared" si="5"/>
        <v>593.53532605063492</v>
      </c>
      <c r="N30" s="2">
        <v>625</v>
      </c>
      <c r="O30" s="3">
        <f>+D30*N30</f>
        <v>40968.75</v>
      </c>
    </row>
    <row r="31" spans="1:15" x14ac:dyDescent="0.3">
      <c r="B31" s="3">
        <v>69</v>
      </c>
      <c r="C31" s="141">
        <v>0.95</v>
      </c>
      <c r="D31" s="140">
        <f t="shared" si="0"/>
        <v>65.55</v>
      </c>
      <c r="E31" s="140">
        <v>530</v>
      </c>
      <c r="F31" s="140">
        <f t="shared" si="1"/>
        <v>36570</v>
      </c>
      <c r="G31" s="140">
        <f t="shared" si="2"/>
        <v>3.4500000000000028</v>
      </c>
      <c r="H31" s="140">
        <f t="shared" si="3"/>
        <v>1828.5000000000016</v>
      </c>
      <c r="I31" s="140">
        <f>+($T$2*B31)/$B$70</f>
        <v>1082.3642600184053</v>
      </c>
      <c r="J31" s="140">
        <f>+(B31*$T$3)/$B$70</f>
        <v>982.04882498360735</v>
      </c>
      <c r="K31" s="140">
        <f>+(B31*$T$6)/$B$70</f>
        <v>491.02441249180367</v>
      </c>
      <c r="L31" s="140">
        <f t="shared" si="4"/>
        <v>40953.937497493811</v>
      </c>
      <c r="M31" s="140">
        <f t="shared" si="5"/>
        <v>593.53532605063492</v>
      </c>
      <c r="N31" s="2">
        <v>625</v>
      </c>
      <c r="O31" s="3">
        <f>+D31*N31</f>
        <v>40968.75</v>
      </c>
    </row>
    <row r="32" spans="1:15" x14ac:dyDescent="0.3">
      <c r="B32" s="3">
        <v>69</v>
      </c>
      <c r="C32" s="141">
        <v>0.95</v>
      </c>
      <c r="D32" s="140">
        <f t="shared" si="0"/>
        <v>65.55</v>
      </c>
      <c r="E32" s="140">
        <v>530</v>
      </c>
      <c r="F32" s="140">
        <f t="shared" si="1"/>
        <v>36570</v>
      </c>
      <c r="G32" s="140">
        <f t="shared" si="2"/>
        <v>3.4500000000000028</v>
      </c>
      <c r="H32" s="140">
        <f t="shared" si="3"/>
        <v>1828.5000000000016</v>
      </c>
      <c r="I32" s="140">
        <f>+($T$2*B32)/$B$70</f>
        <v>1082.3642600184053</v>
      </c>
      <c r="J32" s="140">
        <f>+(B32*$T$3)/$B$70</f>
        <v>982.04882498360735</v>
      </c>
      <c r="K32" s="140">
        <f>+(B32*$T$6)/$B$70</f>
        <v>491.02441249180367</v>
      </c>
      <c r="L32" s="140">
        <f t="shared" si="4"/>
        <v>40953.937497493811</v>
      </c>
      <c r="M32" s="140">
        <f t="shared" si="5"/>
        <v>593.53532605063492</v>
      </c>
      <c r="N32" s="2">
        <v>625</v>
      </c>
      <c r="O32" s="3">
        <f>+D32*N32</f>
        <v>40968.75</v>
      </c>
    </row>
    <row r="33" spans="2:15" x14ac:dyDescent="0.3">
      <c r="B33" s="3">
        <v>69.2</v>
      </c>
      <c r="C33" s="141">
        <v>0.95</v>
      </c>
      <c r="D33" s="140">
        <f t="shared" si="0"/>
        <v>65.739999999999995</v>
      </c>
      <c r="E33" s="140">
        <v>530</v>
      </c>
      <c r="F33" s="140">
        <f t="shared" si="1"/>
        <v>36676</v>
      </c>
      <c r="G33" s="140">
        <f t="shared" si="2"/>
        <v>3.460000000000008</v>
      </c>
      <c r="H33" s="140">
        <f t="shared" si="3"/>
        <v>1833.8000000000043</v>
      </c>
      <c r="I33" s="140">
        <f>+($T$2*B33)/$B$70</f>
        <v>1085.5015477286036</v>
      </c>
      <c r="J33" s="140">
        <f>+(B33*$T$3)/$B$70</f>
        <v>984.89534331689299</v>
      </c>
      <c r="K33" s="140">
        <f>+(B33*$T$6)/$B$70</f>
        <v>492.4476716584465</v>
      </c>
      <c r="L33" s="140">
        <f t="shared" si="4"/>
        <v>41072.64456270395</v>
      </c>
      <c r="M33" s="140">
        <f t="shared" si="5"/>
        <v>593.53532605063515</v>
      </c>
      <c r="N33" s="2">
        <v>625</v>
      </c>
      <c r="O33" s="3">
        <f>+D33*N33</f>
        <v>41087.5</v>
      </c>
    </row>
    <row r="34" spans="2:15" x14ac:dyDescent="0.3">
      <c r="B34" s="3">
        <v>69.5</v>
      </c>
      <c r="C34" s="141">
        <v>0.95</v>
      </c>
      <c r="D34" s="140">
        <f t="shared" si="0"/>
        <v>66.024999999999991</v>
      </c>
      <c r="E34" s="140">
        <v>530</v>
      </c>
      <c r="F34" s="140">
        <f t="shared" si="1"/>
        <v>36835</v>
      </c>
      <c r="G34" s="140">
        <f t="shared" si="2"/>
        <v>3.4750000000000085</v>
      </c>
      <c r="H34" s="140">
        <f t="shared" si="3"/>
        <v>1841.7500000000045</v>
      </c>
      <c r="I34" s="140">
        <f>+($T$2*B34)/$B$70</f>
        <v>1090.2074792939009</v>
      </c>
      <c r="J34" s="140">
        <f>+(B34*$T$3)/$B$70</f>
        <v>989.16512081682185</v>
      </c>
      <c r="K34" s="140">
        <f>+(B34*$T$6)/$B$70</f>
        <v>494.58256040841093</v>
      </c>
      <c r="L34" s="140">
        <f t="shared" si="4"/>
        <v>41250.705160519137</v>
      </c>
      <c r="M34" s="140">
        <f t="shared" si="5"/>
        <v>593.53532605063504</v>
      </c>
      <c r="N34" s="2">
        <v>625</v>
      </c>
      <c r="O34" s="3">
        <f>+D34*N34</f>
        <v>41265.624999999993</v>
      </c>
    </row>
    <row r="35" spans="2:15" x14ac:dyDescent="0.3">
      <c r="B35" s="10">
        <v>69.5</v>
      </c>
      <c r="C35" s="141">
        <v>0.95</v>
      </c>
      <c r="D35" s="140">
        <f t="shared" si="0"/>
        <v>66.024999999999991</v>
      </c>
      <c r="E35" s="140">
        <v>530</v>
      </c>
      <c r="F35" s="140">
        <f t="shared" si="1"/>
        <v>36835</v>
      </c>
      <c r="G35" s="140">
        <f t="shared" si="2"/>
        <v>3.4750000000000085</v>
      </c>
      <c r="H35" s="140">
        <f t="shared" si="3"/>
        <v>1841.7500000000045</v>
      </c>
      <c r="I35" s="140">
        <f>+($T$2*B35)/$B$70</f>
        <v>1090.2074792939009</v>
      </c>
      <c r="J35" s="140">
        <f>+(B35*$T$3)/$B$70</f>
        <v>989.16512081682185</v>
      </c>
      <c r="K35" s="140">
        <f>+(B35*$T$6)/$B$70</f>
        <v>494.58256040841093</v>
      </c>
      <c r="L35" s="140">
        <f t="shared" si="4"/>
        <v>41250.705160519137</v>
      </c>
      <c r="M35" s="140">
        <f t="shared" si="5"/>
        <v>593.53532605063504</v>
      </c>
      <c r="N35" s="2">
        <v>625</v>
      </c>
      <c r="O35" s="3">
        <f>+D35*N35</f>
        <v>41265.624999999993</v>
      </c>
    </row>
    <row r="36" spans="2:15" x14ac:dyDescent="0.3">
      <c r="B36" s="3">
        <v>69.599999999999994</v>
      </c>
      <c r="C36" s="141">
        <v>0.95</v>
      </c>
      <c r="D36" s="140">
        <f t="shared" si="0"/>
        <v>66.11999999999999</v>
      </c>
      <c r="E36" s="140">
        <v>530</v>
      </c>
      <c r="F36" s="140">
        <f t="shared" si="1"/>
        <v>36888</v>
      </c>
      <c r="G36" s="140">
        <f t="shared" si="2"/>
        <v>3.480000000000004</v>
      </c>
      <c r="H36" s="140">
        <f t="shared" si="3"/>
        <v>1844.4000000000021</v>
      </c>
      <c r="I36" s="140">
        <f>+($T$2*B36)/$B$70</f>
        <v>1091.7761231490001</v>
      </c>
      <c r="J36" s="140">
        <f>+(B36*$T$3)/$B$70</f>
        <v>990.58837998346473</v>
      </c>
      <c r="K36" s="140">
        <f>+(B36*$T$6)/$B$70</f>
        <v>495.29418999173237</v>
      </c>
      <c r="L36" s="140">
        <f t="shared" si="4"/>
        <v>41310.0586931242</v>
      </c>
      <c r="M36" s="140">
        <f t="shared" si="5"/>
        <v>593.53532605063515</v>
      </c>
      <c r="N36" s="2">
        <v>625</v>
      </c>
      <c r="O36" s="3">
        <f>+D36*N36</f>
        <v>41324.999999999993</v>
      </c>
    </row>
    <row r="37" spans="2:15" x14ac:dyDescent="0.3">
      <c r="B37" s="10">
        <v>70</v>
      </c>
      <c r="C37" s="141">
        <v>0.95</v>
      </c>
      <c r="D37" s="140">
        <f t="shared" si="0"/>
        <v>66.5</v>
      </c>
      <c r="E37" s="140">
        <v>530</v>
      </c>
      <c r="F37" s="140">
        <f t="shared" si="1"/>
        <v>37100</v>
      </c>
      <c r="G37" s="140">
        <f t="shared" si="2"/>
        <v>3.5</v>
      </c>
      <c r="H37" s="140">
        <f t="shared" si="3"/>
        <v>1855</v>
      </c>
      <c r="I37" s="140">
        <f>+($T$2*B37)/$B$70</f>
        <v>1098.0506985693967</v>
      </c>
      <c r="J37" s="140">
        <f>+(B37*$T$3)/$B$70</f>
        <v>996.28141665003636</v>
      </c>
      <c r="K37" s="140">
        <f>+(B37*$T$6)/$B$70</f>
        <v>498.14070832501818</v>
      </c>
      <c r="L37" s="140">
        <f t="shared" si="4"/>
        <v>41547.472823544449</v>
      </c>
      <c r="M37" s="140">
        <f t="shared" si="5"/>
        <v>593.53532605063504</v>
      </c>
      <c r="N37" s="2">
        <v>625</v>
      </c>
      <c r="O37" s="3">
        <f>+D37*N37</f>
        <v>41562.5</v>
      </c>
    </row>
    <row r="38" spans="2:15" x14ac:dyDescent="0.3">
      <c r="B38" s="3">
        <v>70.3</v>
      </c>
      <c r="C38" s="141">
        <v>0.95</v>
      </c>
      <c r="D38" s="140">
        <f t="shared" si="0"/>
        <v>66.784999999999997</v>
      </c>
      <c r="E38" s="140">
        <v>530</v>
      </c>
      <c r="F38" s="140">
        <f t="shared" si="1"/>
        <v>37259</v>
      </c>
      <c r="G38" s="140">
        <f t="shared" si="2"/>
        <v>3.5150000000000006</v>
      </c>
      <c r="H38" s="140">
        <f t="shared" si="3"/>
        <v>1862.9500000000003</v>
      </c>
      <c r="I38" s="140">
        <f>+($T$2*B38)/$B$70</f>
        <v>1102.756630134694</v>
      </c>
      <c r="J38" s="140">
        <f>+(B38*$T$3)/$B$70</f>
        <v>1000.5511941499649</v>
      </c>
      <c r="K38" s="140">
        <f>+(B38*$T$6)/$B$70</f>
        <v>500.27559707498244</v>
      </c>
      <c r="L38" s="140">
        <f t="shared" si="4"/>
        <v>41725.533421359643</v>
      </c>
      <c r="M38" s="140">
        <f t="shared" si="5"/>
        <v>593.53532605063504</v>
      </c>
      <c r="N38" s="2">
        <v>625</v>
      </c>
      <c r="O38" s="3">
        <f>+D38*N38</f>
        <v>41740.625</v>
      </c>
    </row>
    <row r="39" spans="2:15" x14ac:dyDescent="0.3">
      <c r="B39" s="3">
        <v>72</v>
      </c>
      <c r="C39" s="141">
        <v>0.95</v>
      </c>
      <c r="D39" s="140">
        <f t="shared" si="0"/>
        <v>68.399999999999991</v>
      </c>
      <c r="E39" s="140">
        <v>530</v>
      </c>
      <c r="F39" s="140">
        <f t="shared" si="1"/>
        <v>38160</v>
      </c>
      <c r="G39" s="140">
        <f t="shared" si="2"/>
        <v>3.6000000000000085</v>
      </c>
      <c r="H39" s="140">
        <f t="shared" si="3"/>
        <v>1908.0000000000045</v>
      </c>
      <c r="I39" s="140">
        <f>+($T$2*B39)/$B$70</f>
        <v>1129.4235756713795</v>
      </c>
      <c r="J39" s="140">
        <f>+(B39*$T$3)/$B$70</f>
        <v>1024.7465999828946</v>
      </c>
      <c r="K39" s="140">
        <f>+(B39*$T$6)/$B$70</f>
        <v>512.37329999144731</v>
      </c>
      <c r="L39" s="140">
        <f t="shared" si="4"/>
        <v>42734.543475645733</v>
      </c>
      <c r="M39" s="140">
        <f t="shared" si="5"/>
        <v>593.53532605063515</v>
      </c>
      <c r="N39" s="2">
        <v>625</v>
      </c>
      <c r="O39" s="3">
        <f>+D39*N39</f>
        <v>42749.999999999993</v>
      </c>
    </row>
    <row r="40" spans="2:15" x14ac:dyDescent="0.3">
      <c r="B40" s="10">
        <v>72.5</v>
      </c>
      <c r="C40" s="141">
        <v>0.95</v>
      </c>
      <c r="D40" s="140">
        <f t="shared" si="0"/>
        <v>68.875</v>
      </c>
      <c r="E40" s="140">
        <v>530</v>
      </c>
      <c r="F40" s="140">
        <f t="shared" si="1"/>
        <v>38425</v>
      </c>
      <c r="G40" s="140">
        <f t="shared" si="2"/>
        <v>3.625</v>
      </c>
      <c r="H40" s="140">
        <f t="shared" si="3"/>
        <v>1921.25</v>
      </c>
      <c r="I40" s="140">
        <f>+($T$2*B40)/$B$70</f>
        <v>1137.2667949468751</v>
      </c>
      <c r="J40" s="140">
        <f>+(B40*$T$3)/$B$70</f>
        <v>1031.8628958161091</v>
      </c>
      <c r="K40" s="140">
        <f>+(B40*$T$6)/$B$70</f>
        <v>515.93144790805457</v>
      </c>
      <c r="L40" s="140">
        <f t="shared" si="4"/>
        <v>43031.311138671037</v>
      </c>
      <c r="M40" s="140">
        <f t="shared" si="5"/>
        <v>593.53532605063504</v>
      </c>
      <c r="N40" s="2">
        <v>625</v>
      </c>
      <c r="O40" s="3">
        <f>+D40*N40</f>
        <v>43046.875</v>
      </c>
    </row>
    <row r="41" spans="2:15" x14ac:dyDescent="0.3">
      <c r="B41" s="3">
        <v>73</v>
      </c>
      <c r="C41" s="141">
        <v>0.95</v>
      </c>
      <c r="D41" s="140">
        <f t="shared" si="0"/>
        <v>69.349999999999994</v>
      </c>
      <c r="E41" s="140">
        <v>530</v>
      </c>
      <c r="F41" s="140">
        <f t="shared" si="1"/>
        <v>38690</v>
      </c>
      <c r="G41" s="140">
        <f t="shared" si="2"/>
        <v>3.6500000000000057</v>
      </c>
      <c r="H41" s="140">
        <f t="shared" si="3"/>
        <v>1934.500000000003</v>
      </c>
      <c r="I41" s="140">
        <f>+($T$2*B41)/$B$70</f>
        <v>1145.1100142223709</v>
      </c>
      <c r="J41" s="140">
        <f>+(B41*$T$3)/$B$70</f>
        <v>1038.9791916493236</v>
      </c>
      <c r="K41" s="140">
        <f>+(B41*$T$6)/$B$70</f>
        <v>519.48959582466182</v>
      </c>
      <c r="L41" s="140">
        <f t="shared" si="4"/>
        <v>43328.078801696363</v>
      </c>
      <c r="M41" s="140">
        <f t="shared" si="5"/>
        <v>593.53532605063515</v>
      </c>
      <c r="N41" s="2">
        <v>625</v>
      </c>
      <c r="O41" s="3">
        <f>+D41*N41</f>
        <v>43343.75</v>
      </c>
    </row>
    <row r="42" spans="2:15" x14ac:dyDescent="0.3">
      <c r="B42" s="3">
        <v>73.400000000000006</v>
      </c>
      <c r="C42" s="141">
        <v>0.95</v>
      </c>
      <c r="D42" s="140">
        <f t="shared" si="0"/>
        <v>69.73</v>
      </c>
      <c r="E42" s="140">
        <v>530</v>
      </c>
      <c r="F42" s="140">
        <f t="shared" si="1"/>
        <v>38902</v>
      </c>
      <c r="G42" s="140">
        <f t="shared" si="2"/>
        <v>3.6700000000000017</v>
      </c>
      <c r="H42" s="140">
        <f t="shared" si="3"/>
        <v>1945.1000000000008</v>
      </c>
      <c r="I42" s="140">
        <f>+($T$2*B42)/$B$70</f>
        <v>1151.3845896427674</v>
      </c>
      <c r="J42" s="140">
        <f>+(B42*$T$3)/$B$70</f>
        <v>1044.6722283158952</v>
      </c>
      <c r="K42" s="140">
        <f>+(B42*$T$6)/$B$70</f>
        <v>522.33611415794758</v>
      </c>
      <c r="L42" s="140">
        <f t="shared" si="4"/>
        <v>43565.492932116606</v>
      </c>
      <c r="M42" s="140">
        <f t="shared" si="5"/>
        <v>593.53532605063492</v>
      </c>
      <c r="N42" s="2">
        <v>625</v>
      </c>
      <c r="O42" s="3">
        <f>+D42*N42</f>
        <v>43581.25</v>
      </c>
    </row>
    <row r="43" spans="2:15" x14ac:dyDescent="0.3">
      <c r="B43" s="10">
        <v>74</v>
      </c>
      <c r="C43" s="141">
        <v>0.95</v>
      </c>
      <c r="D43" s="140">
        <f t="shared" si="0"/>
        <v>70.3</v>
      </c>
      <c r="E43" s="140">
        <v>530</v>
      </c>
      <c r="F43" s="140">
        <f t="shared" si="1"/>
        <v>39220</v>
      </c>
      <c r="G43" s="140">
        <f t="shared" si="2"/>
        <v>3.7000000000000028</v>
      </c>
      <c r="H43" s="140">
        <f t="shared" si="3"/>
        <v>1961.0000000000016</v>
      </c>
      <c r="I43" s="140">
        <f>+($T$2*B43)/$B$70</f>
        <v>1160.7964527733623</v>
      </c>
      <c r="J43" s="140">
        <f>+(B43*$T$3)/$B$70</f>
        <v>1053.2117833157527</v>
      </c>
      <c r="K43" s="140">
        <f>+(B43*$T$6)/$B$70</f>
        <v>526.60589165787633</v>
      </c>
      <c r="L43" s="140">
        <f t="shared" si="4"/>
        <v>43921.614127746994</v>
      </c>
      <c r="M43" s="140">
        <f t="shared" si="5"/>
        <v>593.53532605063504</v>
      </c>
      <c r="N43" s="2">
        <v>625</v>
      </c>
      <c r="O43" s="3">
        <f>+D43*N43</f>
        <v>43937.5</v>
      </c>
    </row>
    <row r="44" spans="2:15" x14ac:dyDescent="0.3">
      <c r="B44" s="10">
        <v>74.5</v>
      </c>
      <c r="C44" s="141">
        <v>0.95</v>
      </c>
      <c r="D44" s="140">
        <f t="shared" si="0"/>
        <v>70.774999999999991</v>
      </c>
      <c r="E44" s="140">
        <v>530</v>
      </c>
      <c r="F44" s="140">
        <f t="shared" si="1"/>
        <v>39485</v>
      </c>
      <c r="G44" s="140">
        <f t="shared" si="2"/>
        <v>3.7250000000000085</v>
      </c>
      <c r="H44" s="140">
        <f t="shared" si="3"/>
        <v>1974.2500000000045</v>
      </c>
      <c r="I44" s="140">
        <f>+($T$2*B44)/$B$70</f>
        <v>1168.6396720488578</v>
      </c>
      <c r="J44" s="140">
        <f>+(B44*$T$3)/$B$70</f>
        <v>1060.3280791489672</v>
      </c>
      <c r="K44" s="140">
        <f>+(B44*$T$6)/$B$70</f>
        <v>530.16403957448358</v>
      </c>
      <c r="L44" s="140">
        <f t="shared" si="4"/>
        <v>44218.381790772313</v>
      </c>
      <c r="M44" s="140">
        <f t="shared" si="5"/>
        <v>593.53532605063504</v>
      </c>
      <c r="N44" s="2">
        <v>650</v>
      </c>
      <c r="O44" s="3">
        <f>+D44*N44</f>
        <v>46003.749999999993</v>
      </c>
    </row>
    <row r="45" spans="2:15" x14ac:dyDescent="0.3">
      <c r="B45" s="10">
        <v>75.5</v>
      </c>
      <c r="C45" s="141">
        <v>0.95</v>
      </c>
      <c r="D45" s="140">
        <f t="shared" si="0"/>
        <v>71.724999999999994</v>
      </c>
      <c r="E45" s="140">
        <v>530</v>
      </c>
      <c r="F45" s="140">
        <f t="shared" si="1"/>
        <v>40015</v>
      </c>
      <c r="G45" s="140">
        <f t="shared" si="2"/>
        <v>3.7750000000000057</v>
      </c>
      <c r="H45" s="140">
        <f t="shared" si="3"/>
        <v>2000.750000000003</v>
      </c>
      <c r="I45" s="140">
        <f>+($T$2*B45)/$B$70</f>
        <v>1184.3261105998492</v>
      </c>
      <c r="J45" s="140">
        <f>+(B45*$T$3)/$B$70</f>
        <v>1074.5606708153964</v>
      </c>
      <c r="K45" s="140">
        <f>+(B45*$T$6)/$B$70</f>
        <v>537.2803354076982</v>
      </c>
      <c r="L45" s="140">
        <f t="shared" si="4"/>
        <v>44811.917116822937</v>
      </c>
      <c r="M45" s="140">
        <f t="shared" si="5"/>
        <v>593.53532605063492</v>
      </c>
      <c r="N45" s="2">
        <v>650</v>
      </c>
      <c r="O45" s="3">
        <f>+D45*N45</f>
        <v>46621.249999999993</v>
      </c>
    </row>
    <row r="46" spans="2:15" x14ac:dyDescent="0.3">
      <c r="B46" s="10">
        <v>75.5</v>
      </c>
      <c r="C46" s="141">
        <v>0.95</v>
      </c>
      <c r="D46" s="140">
        <f t="shared" si="0"/>
        <v>71.724999999999994</v>
      </c>
      <c r="E46" s="140">
        <v>530</v>
      </c>
      <c r="F46" s="140">
        <f t="shared" si="1"/>
        <v>40015</v>
      </c>
      <c r="G46" s="140">
        <f t="shared" si="2"/>
        <v>3.7750000000000057</v>
      </c>
      <c r="H46" s="140">
        <f t="shared" si="3"/>
        <v>2000.750000000003</v>
      </c>
      <c r="I46" s="140">
        <f>+($T$2*B46)/$B$70</f>
        <v>1184.3261105998492</v>
      </c>
      <c r="J46" s="140">
        <f>+(B46*$T$3)/$B$70</f>
        <v>1074.5606708153964</v>
      </c>
      <c r="K46" s="140">
        <f>+(B46*$T$6)/$B$70</f>
        <v>537.2803354076982</v>
      </c>
      <c r="L46" s="140">
        <f t="shared" si="4"/>
        <v>44811.917116822937</v>
      </c>
      <c r="M46" s="140">
        <f t="shared" si="5"/>
        <v>593.53532605063492</v>
      </c>
      <c r="N46" s="2">
        <v>650</v>
      </c>
      <c r="O46" s="3">
        <f>+D46*N46</f>
        <v>46621.249999999993</v>
      </c>
    </row>
    <row r="47" spans="2:15" x14ac:dyDescent="0.3">
      <c r="B47" s="3">
        <v>76</v>
      </c>
      <c r="C47" s="141">
        <v>0.95</v>
      </c>
      <c r="D47" s="140">
        <f t="shared" si="0"/>
        <v>72.2</v>
      </c>
      <c r="E47" s="140">
        <v>530</v>
      </c>
      <c r="F47" s="140">
        <f t="shared" si="1"/>
        <v>40280</v>
      </c>
      <c r="G47" s="140">
        <f t="shared" si="2"/>
        <v>3.7999999999999972</v>
      </c>
      <c r="H47" s="140">
        <f t="shared" si="3"/>
        <v>2013.9999999999984</v>
      </c>
      <c r="I47" s="140">
        <f>+($T$2*B47)/$B$70</f>
        <v>1192.1693298753448</v>
      </c>
      <c r="J47" s="140">
        <f>+(B47*$T$3)/$B$70</f>
        <v>1081.6769666486109</v>
      </c>
      <c r="K47" s="140">
        <f>+(B47*$T$6)/$B$70</f>
        <v>540.83848332430546</v>
      </c>
      <c r="L47" s="140">
        <f t="shared" si="4"/>
        <v>45108.684779848263</v>
      </c>
      <c r="M47" s="140">
        <f t="shared" si="5"/>
        <v>593.53532605063504</v>
      </c>
      <c r="N47" s="2">
        <v>650</v>
      </c>
      <c r="O47" s="3">
        <f>+D47*N47</f>
        <v>46930</v>
      </c>
    </row>
    <row r="48" spans="2:15" x14ac:dyDescent="0.3">
      <c r="B48" s="10">
        <v>76</v>
      </c>
      <c r="C48" s="141">
        <v>0.95</v>
      </c>
      <c r="D48" s="140">
        <f t="shared" si="0"/>
        <v>72.2</v>
      </c>
      <c r="E48" s="140">
        <v>530</v>
      </c>
      <c r="F48" s="140">
        <f t="shared" si="1"/>
        <v>40280</v>
      </c>
      <c r="G48" s="140">
        <f t="shared" si="2"/>
        <v>3.7999999999999972</v>
      </c>
      <c r="H48" s="140">
        <f t="shared" si="3"/>
        <v>2013.9999999999984</v>
      </c>
      <c r="I48" s="140">
        <f>+($T$2*B48)/$B$70</f>
        <v>1192.1693298753448</v>
      </c>
      <c r="J48" s="140">
        <f>+(B48*$T$3)/$B$70</f>
        <v>1081.6769666486109</v>
      </c>
      <c r="K48" s="140">
        <f>+(B48*$T$6)/$B$70</f>
        <v>540.83848332430546</v>
      </c>
      <c r="L48" s="140">
        <f t="shared" si="4"/>
        <v>45108.684779848263</v>
      </c>
      <c r="M48" s="140">
        <f t="shared" si="5"/>
        <v>593.53532605063504</v>
      </c>
      <c r="N48" s="2">
        <v>650</v>
      </c>
      <c r="O48" s="3">
        <f>+D48*N48</f>
        <v>46930</v>
      </c>
    </row>
    <row r="49" spans="2:15" x14ac:dyDescent="0.3">
      <c r="B49" s="3">
        <v>77</v>
      </c>
      <c r="C49" s="141">
        <v>0.95</v>
      </c>
      <c r="D49" s="140">
        <f t="shared" si="0"/>
        <v>73.149999999999991</v>
      </c>
      <c r="E49" s="140">
        <v>530</v>
      </c>
      <c r="F49" s="140">
        <f t="shared" si="1"/>
        <v>40810</v>
      </c>
      <c r="G49" s="140">
        <f t="shared" si="2"/>
        <v>3.8500000000000085</v>
      </c>
      <c r="H49" s="140">
        <f t="shared" si="3"/>
        <v>2040.5000000000045</v>
      </c>
      <c r="I49" s="140">
        <f>+($T$2*B49)/$B$70</f>
        <v>1207.8557684263362</v>
      </c>
      <c r="J49" s="140">
        <f>+(B49*$T$3)/$B$70</f>
        <v>1095.9095583150399</v>
      </c>
      <c r="K49" s="140">
        <f>+(B49*$T$6)/$B$70</f>
        <v>547.95477915751997</v>
      </c>
      <c r="L49" s="140">
        <f t="shared" si="4"/>
        <v>45702.220105898901</v>
      </c>
      <c r="M49" s="140">
        <f t="shared" si="5"/>
        <v>593.53532605063504</v>
      </c>
      <c r="N49" s="2">
        <v>650</v>
      </c>
      <c r="O49" s="3">
        <f>+D49*N49</f>
        <v>47547.499999999993</v>
      </c>
    </row>
    <row r="50" spans="2:15" x14ac:dyDescent="0.3">
      <c r="B50" s="3">
        <v>77.400000000000006</v>
      </c>
      <c r="C50" s="141">
        <v>0.95</v>
      </c>
      <c r="D50" s="140">
        <f t="shared" si="0"/>
        <v>73.53</v>
      </c>
      <c r="E50" s="140">
        <v>530</v>
      </c>
      <c r="F50" s="140">
        <f t="shared" si="1"/>
        <v>41022</v>
      </c>
      <c r="G50" s="140">
        <f t="shared" si="2"/>
        <v>3.8700000000000045</v>
      </c>
      <c r="H50" s="140">
        <f t="shared" si="3"/>
        <v>2051.1000000000022</v>
      </c>
      <c r="I50" s="140">
        <f>+($T$2*B50)/$B$70</f>
        <v>1214.1303438467328</v>
      </c>
      <c r="J50" s="140">
        <f>+(B50*$T$3)/$B$70</f>
        <v>1101.6025949816117</v>
      </c>
      <c r="K50" s="140">
        <f>+(B50*$T$6)/$B$70</f>
        <v>550.80129749080584</v>
      </c>
      <c r="L50" s="140">
        <f t="shared" si="4"/>
        <v>45939.634236319151</v>
      </c>
      <c r="M50" s="140">
        <f t="shared" si="5"/>
        <v>593.53532605063492</v>
      </c>
      <c r="N50" s="2">
        <v>650</v>
      </c>
      <c r="O50" s="3">
        <f>+D50*N50</f>
        <v>47794.5</v>
      </c>
    </row>
    <row r="51" spans="2:15" x14ac:dyDescent="0.3">
      <c r="B51" s="3">
        <v>78</v>
      </c>
      <c r="C51" s="141">
        <v>0.95</v>
      </c>
      <c r="D51" s="140">
        <f t="shared" si="0"/>
        <v>74.099999999999994</v>
      </c>
      <c r="E51" s="140">
        <v>530</v>
      </c>
      <c r="F51" s="140">
        <f t="shared" si="1"/>
        <v>41340</v>
      </c>
      <c r="G51" s="140">
        <f t="shared" si="2"/>
        <v>3.9000000000000057</v>
      </c>
      <c r="H51" s="140">
        <f t="shared" si="3"/>
        <v>2067.0000000000032</v>
      </c>
      <c r="I51" s="140">
        <f>+($T$2*B51)/$B$70</f>
        <v>1223.5422069773276</v>
      </c>
      <c r="J51" s="140">
        <f>+(B51*$T$3)/$B$70</f>
        <v>1110.1421499814692</v>
      </c>
      <c r="K51" s="140">
        <f>+(B51*$T$6)/$B$70</f>
        <v>555.07107499073459</v>
      </c>
      <c r="L51" s="140">
        <f t="shared" si="4"/>
        <v>46295.755431949532</v>
      </c>
      <c r="M51" s="140">
        <f t="shared" si="5"/>
        <v>593.53532605063504</v>
      </c>
      <c r="N51" s="2">
        <v>650</v>
      </c>
      <c r="O51" s="3">
        <f>+D51*N51</f>
        <v>48164.999999999993</v>
      </c>
    </row>
    <row r="52" spans="2:15" x14ac:dyDescent="0.3">
      <c r="B52" s="10">
        <v>78</v>
      </c>
      <c r="C52" s="141">
        <v>0.95</v>
      </c>
      <c r="D52" s="140">
        <f t="shared" si="0"/>
        <v>74.099999999999994</v>
      </c>
      <c r="E52" s="140">
        <v>530</v>
      </c>
      <c r="F52" s="140">
        <f t="shared" si="1"/>
        <v>41340</v>
      </c>
      <c r="G52" s="140">
        <f t="shared" si="2"/>
        <v>3.9000000000000057</v>
      </c>
      <c r="H52" s="140">
        <f t="shared" si="3"/>
        <v>2067.0000000000032</v>
      </c>
      <c r="I52" s="140">
        <f>+($T$2*B52)/$B$70</f>
        <v>1223.5422069773276</v>
      </c>
      <c r="J52" s="140">
        <f>+(B52*$T$3)/$B$70</f>
        <v>1110.1421499814692</v>
      </c>
      <c r="K52" s="140">
        <f>+(B52*$T$6)/$B$70</f>
        <v>555.07107499073459</v>
      </c>
      <c r="L52" s="140">
        <f t="shared" si="4"/>
        <v>46295.755431949532</v>
      </c>
      <c r="M52" s="140">
        <f t="shared" si="5"/>
        <v>593.53532605063504</v>
      </c>
      <c r="N52" s="2">
        <v>650</v>
      </c>
      <c r="O52" s="3">
        <f>+D52*N52</f>
        <v>48164.999999999993</v>
      </c>
    </row>
    <row r="53" spans="2:15" x14ac:dyDescent="0.3">
      <c r="B53" s="10">
        <v>78.5</v>
      </c>
      <c r="C53" s="141">
        <v>0.95</v>
      </c>
      <c r="D53" s="140">
        <f t="shared" si="0"/>
        <v>74.575000000000003</v>
      </c>
      <c r="E53" s="140">
        <v>530</v>
      </c>
      <c r="F53" s="140">
        <f t="shared" si="1"/>
        <v>41605</v>
      </c>
      <c r="G53" s="140">
        <f t="shared" si="2"/>
        <v>3.9249999999999972</v>
      </c>
      <c r="H53" s="140">
        <f t="shared" si="3"/>
        <v>2080.2499999999986</v>
      </c>
      <c r="I53" s="140">
        <f>+($T$2*B53)/$B$70</f>
        <v>1231.3854262528234</v>
      </c>
      <c r="J53" s="140">
        <f>+(B53*$T$3)/$B$70</f>
        <v>1117.2584458146837</v>
      </c>
      <c r="K53" s="140">
        <f>+(B53*$T$6)/$B$70</f>
        <v>558.62922290734184</v>
      </c>
      <c r="L53" s="140">
        <f t="shared" si="4"/>
        <v>46592.523094974851</v>
      </c>
      <c r="M53" s="140">
        <f t="shared" si="5"/>
        <v>593.53532605063504</v>
      </c>
      <c r="N53" s="2">
        <v>650</v>
      </c>
      <c r="O53" s="3">
        <f>+D53*N53</f>
        <v>48473.75</v>
      </c>
    </row>
    <row r="54" spans="2:15" x14ac:dyDescent="0.3">
      <c r="B54" s="3">
        <v>79</v>
      </c>
      <c r="C54" s="141">
        <v>0.95</v>
      </c>
      <c r="D54" s="140">
        <f t="shared" si="0"/>
        <v>75.05</v>
      </c>
      <c r="E54" s="140">
        <v>530</v>
      </c>
      <c r="F54" s="140">
        <f t="shared" si="1"/>
        <v>41870</v>
      </c>
      <c r="G54" s="140">
        <f t="shared" si="2"/>
        <v>3.9500000000000028</v>
      </c>
      <c r="H54" s="140">
        <f t="shared" si="3"/>
        <v>2093.5000000000014</v>
      </c>
      <c r="I54" s="140">
        <f>+($T$2*B54)/$B$70</f>
        <v>1239.228645528319</v>
      </c>
      <c r="J54" s="140">
        <f>+(B54*$T$3)/$B$70</f>
        <v>1124.3747416478982</v>
      </c>
      <c r="K54" s="140">
        <f>+(B54*$T$6)/$B$70</f>
        <v>562.1873708239491</v>
      </c>
      <c r="L54" s="140">
        <f t="shared" si="4"/>
        <v>46889.29075800017</v>
      </c>
      <c r="M54" s="140">
        <f t="shared" si="5"/>
        <v>593.53532605063504</v>
      </c>
      <c r="N54" s="2">
        <v>650</v>
      </c>
      <c r="O54" s="3">
        <f>+D54*N54</f>
        <v>48782.5</v>
      </c>
    </row>
    <row r="55" spans="2:15" x14ac:dyDescent="0.3">
      <c r="B55" s="10">
        <v>79</v>
      </c>
      <c r="C55" s="141">
        <v>0.95</v>
      </c>
      <c r="D55" s="140">
        <f t="shared" si="0"/>
        <v>75.05</v>
      </c>
      <c r="E55" s="140">
        <v>530</v>
      </c>
      <c r="F55" s="140">
        <f t="shared" si="1"/>
        <v>41870</v>
      </c>
      <c r="G55" s="140">
        <f t="shared" si="2"/>
        <v>3.9500000000000028</v>
      </c>
      <c r="H55" s="140">
        <f t="shared" si="3"/>
        <v>2093.5000000000014</v>
      </c>
      <c r="I55" s="140">
        <f>+($T$2*B55)/$B$70</f>
        <v>1239.228645528319</v>
      </c>
      <c r="J55" s="140">
        <f>+(B55*$T$3)/$B$70</f>
        <v>1124.3747416478982</v>
      </c>
      <c r="K55" s="140">
        <f>+(B55*$T$6)/$B$70</f>
        <v>562.1873708239491</v>
      </c>
      <c r="L55" s="140">
        <f t="shared" si="4"/>
        <v>46889.29075800017</v>
      </c>
      <c r="M55" s="140">
        <f t="shared" si="5"/>
        <v>593.53532605063504</v>
      </c>
      <c r="N55" s="2">
        <v>650</v>
      </c>
      <c r="O55" s="3">
        <f>+D55*N55</f>
        <v>48782.5</v>
      </c>
    </row>
    <row r="56" spans="2:15" x14ac:dyDescent="0.3">
      <c r="B56" s="3">
        <v>80</v>
      </c>
      <c r="C56" s="141">
        <v>0.95</v>
      </c>
      <c r="D56" s="140">
        <f t="shared" si="0"/>
        <v>76</v>
      </c>
      <c r="E56" s="140">
        <v>530</v>
      </c>
      <c r="F56" s="140">
        <f t="shared" si="1"/>
        <v>42400</v>
      </c>
      <c r="G56" s="140">
        <f t="shared" si="2"/>
        <v>4</v>
      </c>
      <c r="H56" s="140">
        <f t="shared" si="3"/>
        <v>2120</v>
      </c>
      <c r="I56" s="140">
        <f>+($T$2*B56)/$B$70</f>
        <v>1254.9150840793104</v>
      </c>
      <c r="J56" s="140">
        <f>+(B56*$T$3)/$B$70</f>
        <v>1138.6073333143272</v>
      </c>
      <c r="K56" s="140">
        <f>+(B56*$T$6)/$B$70</f>
        <v>569.3036666571636</v>
      </c>
      <c r="L56" s="140">
        <f t="shared" si="4"/>
        <v>47482.826084050801</v>
      </c>
      <c r="M56" s="140">
        <f t="shared" si="5"/>
        <v>593.53532605063504</v>
      </c>
      <c r="N56" s="2">
        <v>650</v>
      </c>
      <c r="O56" s="3">
        <f>+D56*N56</f>
        <v>49400</v>
      </c>
    </row>
    <row r="57" spans="2:15" x14ac:dyDescent="0.3">
      <c r="B57" s="3">
        <v>81</v>
      </c>
      <c r="C57" s="141">
        <v>0.95</v>
      </c>
      <c r="D57" s="140">
        <f t="shared" si="0"/>
        <v>76.95</v>
      </c>
      <c r="E57" s="140">
        <v>530</v>
      </c>
      <c r="F57" s="140">
        <f t="shared" si="1"/>
        <v>42930</v>
      </c>
      <c r="G57" s="140">
        <f t="shared" si="2"/>
        <v>4.0499999999999972</v>
      </c>
      <c r="H57" s="140">
        <f t="shared" si="3"/>
        <v>2146.4999999999986</v>
      </c>
      <c r="I57" s="140">
        <f>+($T$2*B57)/$B$70</f>
        <v>1270.6015226303018</v>
      </c>
      <c r="J57" s="140">
        <f>+(B57*$T$3)/$B$70</f>
        <v>1152.8399249807565</v>
      </c>
      <c r="K57" s="140">
        <f>+(B57*$T$6)/$B$70</f>
        <v>576.41996249037823</v>
      </c>
      <c r="L57" s="140">
        <f t="shared" si="4"/>
        <v>48076.361410101432</v>
      </c>
      <c r="M57" s="140">
        <f t="shared" si="5"/>
        <v>593.53532605063492</v>
      </c>
      <c r="N57" s="2">
        <v>650</v>
      </c>
      <c r="O57" s="3">
        <f>+D57*N57</f>
        <v>50017.5</v>
      </c>
    </row>
    <row r="58" spans="2:15" x14ac:dyDescent="0.3">
      <c r="B58" s="3">
        <v>81.8</v>
      </c>
      <c r="C58" s="141">
        <v>0.95</v>
      </c>
      <c r="D58" s="140">
        <f t="shared" si="0"/>
        <v>77.709999999999994</v>
      </c>
      <c r="E58" s="140">
        <v>530</v>
      </c>
      <c r="F58" s="140">
        <f t="shared" si="1"/>
        <v>43354</v>
      </c>
      <c r="G58" s="140">
        <f t="shared" si="2"/>
        <v>4.0900000000000034</v>
      </c>
      <c r="H58" s="140">
        <f t="shared" si="3"/>
        <v>2167.7000000000016</v>
      </c>
      <c r="I58" s="140">
        <f>+($T$2*B58)/$B$70</f>
        <v>1283.1506734710949</v>
      </c>
      <c r="J58" s="140">
        <f>+(B58*$T$3)/$B$70</f>
        <v>1164.2259983138995</v>
      </c>
      <c r="K58" s="140">
        <f>+(B58*$T$6)/$B$70</f>
        <v>582.11299915694974</v>
      </c>
      <c r="L58" s="140">
        <f t="shared" si="4"/>
        <v>48551.189670941945</v>
      </c>
      <c r="M58" s="140">
        <f t="shared" si="5"/>
        <v>593.53532605063504</v>
      </c>
      <c r="N58" s="2">
        <v>650</v>
      </c>
      <c r="O58" s="3">
        <f>+D58*N58</f>
        <v>50511.499999999993</v>
      </c>
    </row>
    <row r="59" spans="2:15" x14ac:dyDescent="0.3">
      <c r="B59" s="3">
        <v>82</v>
      </c>
      <c r="C59" s="141">
        <v>0.95</v>
      </c>
      <c r="D59" s="140">
        <f t="shared" si="0"/>
        <v>77.899999999999991</v>
      </c>
      <c r="E59" s="140">
        <v>530</v>
      </c>
      <c r="F59" s="140">
        <f t="shared" si="1"/>
        <v>43460</v>
      </c>
      <c r="G59" s="140">
        <f t="shared" si="2"/>
        <v>4.1000000000000085</v>
      </c>
      <c r="H59" s="140">
        <f t="shared" si="3"/>
        <v>2173.0000000000045</v>
      </c>
      <c r="I59" s="140">
        <f>+($T$2*B59)/$B$70</f>
        <v>1286.2879611812932</v>
      </c>
      <c r="J59" s="140">
        <f>+(B59*$T$3)/$B$70</f>
        <v>1167.0725166471855</v>
      </c>
      <c r="K59" s="140">
        <f>+(B59*$T$6)/$B$70</f>
        <v>583.53625832359273</v>
      </c>
      <c r="L59" s="140">
        <f t="shared" si="4"/>
        <v>48669.89673615207</v>
      </c>
      <c r="M59" s="140">
        <f t="shared" si="5"/>
        <v>593.53532605063504</v>
      </c>
      <c r="N59" s="2">
        <v>650</v>
      </c>
      <c r="O59" s="3">
        <f>+D59*N59</f>
        <v>50634.999999999993</v>
      </c>
    </row>
    <row r="60" spans="2:15" x14ac:dyDescent="0.3">
      <c r="B60" s="10">
        <v>82</v>
      </c>
      <c r="C60" s="141">
        <v>0.95</v>
      </c>
      <c r="D60" s="140">
        <f t="shared" si="0"/>
        <v>77.899999999999991</v>
      </c>
      <c r="E60" s="140">
        <v>530</v>
      </c>
      <c r="F60" s="140">
        <f t="shared" si="1"/>
        <v>43460</v>
      </c>
      <c r="G60" s="140">
        <f t="shared" si="2"/>
        <v>4.1000000000000085</v>
      </c>
      <c r="H60" s="140">
        <f t="shared" si="3"/>
        <v>2173.0000000000045</v>
      </c>
      <c r="I60" s="140">
        <f>+($T$2*B60)/$B$70</f>
        <v>1286.2879611812932</v>
      </c>
      <c r="J60" s="140">
        <f>+(B60*$T$3)/$B$70</f>
        <v>1167.0725166471855</v>
      </c>
      <c r="K60" s="140">
        <f>+(B60*$T$6)/$B$70</f>
        <v>583.53625832359273</v>
      </c>
      <c r="L60" s="140">
        <f t="shared" si="4"/>
        <v>48669.89673615207</v>
      </c>
      <c r="M60" s="140">
        <f t="shared" si="5"/>
        <v>593.53532605063504</v>
      </c>
      <c r="N60" s="2">
        <v>650</v>
      </c>
      <c r="O60" s="3">
        <f>+D60*N60</f>
        <v>50634.999999999993</v>
      </c>
    </row>
    <row r="61" spans="2:15" x14ac:dyDescent="0.3">
      <c r="B61" s="3">
        <v>82.5</v>
      </c>
      <c r="C61" s="141">
        <v>0.95</v>
      </c>
      <c r="D61" s="140">
        <f t="shared" si="0"/>
        <v>78.375</v>
      </c>
      <c r="E61" s="140">
        <v>530</v>
      </c>
      <c r="F61" s="140">
        <f t="shared" si="1"/>
        <v>43725</v>
      </c>
      <c r="G61" s="140">
        <f t="shared" si="2"/>
        <v>4.125</v>
      </c>
      <c r="H61" s="140">
        <f t="shared" si="3"/>
        <v>2186.25</v>
      </c>
      <c r="I61" s="140">
        <f>+($T$2*B61)/$B$70</f>
        <v>1294.1311804567888</v>
      </c>
      <c r="J61" s="140">
        <f>+(B61*$T$3)/$B$70</f>
        <v>1174.1888124804</v>
      </c>
      <c r="K61" s="140">
        <f>+(B61*$T$6)/$B$70</f>
        <v>587.09440624019999</v>
      </c>
      <c r="L61" s="140">
        <f t="shared" si="4"/>
        <v>48966.664399177389</v>
      </c>
      <c r="M61" s="140">
        <f t="shared" si="5"/>
        <v>593.53532605063504</v>
      </c>
      <c r="N61" s="2">
        <v>650</v>
      </c>
      <c r="O61" s="3">
        <f>+D61*N61</f>
        <v>50943.75</v>
      </c>
    </row>
    <row r="62" spans="2:15" x14ac:dyDescent="0.3">
      <c r="B62" s="10">
        <v>82.5</v>
      </c>
      <c r="C62" s="141">
        <v>0.95</v>
      </c>
      <c r="D62" s="140">
        <f t="shared" si="0"/>
        <v>78.375</v>
      </c>
      <c r="E62" s="140">
        <v>530</v>
      </c>
      <c r="F62" s="140">
        <f t="shared" si="1"/>
        <v>43725</v>
      </c>
      <c r="G62" s="140">
        <f t="shared" si="2"/>
        <v>4.125</v>
      </c>
      <c r="H62" s="140">
        <f t="shared" si="3"/>
        <v>2186.25</v>
      </c>
      <c r="I62" s="140">
        <f>+($T$2*B62)/$B$70</f>
        <v>1294.1311804567888</v>
      </c>
      <c r="J62" s="140">
        <f>+(B62*$T$3)/$B$70</f>
        <v>1174.1888124804</v>
      </c>
      <c r="K62" s="140">
        <f>+(B62*$T$6)/$B$70</f>
        <v>587.09440624019999</v>
      </c>
      <c r="L62" s="140">
        <f t="shared" si="4"/>
        <v>48966.664399177389</v>
      </c>
      <c r="M62" s="140">
        <f t="shared" si="5"/>
        <v>593.53532605063504</v>
      </c>
      <c r="N62" s="2">
        <v>650</v>
      </c>
      <c r="O62" s="3">
        <f>+D62*N62</f>
        <v>50943.75</v>
      </c>
    </row>
    <row r="63" spans="2:15" x14ac:dyDescent="0.3">
      <c r="B63" s="10">
        <v>82.5</v>
      </c>
      <c r="C63" s="141">
        <v>0.95</v>
      </c>
      <c r="D63" s="140">
        <f t="shared" si="0"/>
        <v>78.375</v>
      </c>
      <c r="E63" s="140">
        <v>530</v>
      </c>
      <c r="F63" s="140">
        <f t="shared" si="1"/>
        <v>43725</v>
      </c>
      <c r="G63" s="140">
        <f t="shared" si="2"/>
        <v>4.125</v>
      </c>
      <c r="H63" s="140">
        <f t="shared" si="3"/>
        <v>2186.25</v>
      </c>
      <c r="I63" s="140">
        <f>+($T$2*B63)/$B$70</f>
        <v>1294.1311804567888</v>
      </c>
      <c r="J63" s="140">
        <f>+(B63*$T$3)/$B$70</f>
        <v>1174.1888124804</v>
      </c>
      <c r="K63" s="140">
        <f>+(B63*$T$6)/$B$70</f>
        <v>587.09440624019999</v>
      </c>
      <c r="L63" s="140">
        <f t="shared" si="4"/>
        <v>48966.664399177389</v>
      </c>
      <c r="M63" s="140">
        <f t="shared" si="5"/>
        <v>593.53532605063504</v>
      </c>
      <c r="N63" s="2">
        <v>650</v>
      </c>
      <c r="O63" s="3">
        <f>+D63*N63</f>
        <v>50943.75</v>
      </c>
    </row>
    <row r="64" spans="2:15" x14ac:dyDescent="0.3">
      <c r="B64" s="3">
        <v>84.5</v>
      </c>
      <c r="C64" s="141">
        <v>0.95</v>
      </c>
      <c r="D64" s="140">
        <f t="shared" si="0"/>
        <v>80.274999999999991</v>
      </c>
      <c r="E64" s="140">
        <v>530</v>
      </c>
      <c r="F64" s="140">
        <f t="shared" si="1"/>
        <v>44785</v>
      </c>
      <c r="G64" s="140">
        <f t="shared" si="2"/>
        <v>4.2250000000000085</v>
      </c>
      <c r="H64" s="140">
        <f t="shared" si="3"/>
        <v>2239.2500000000045</v>
      </c>
      <c r="I64" s="140">
        <f>+($T$2*B64)/$B$70</f>
        <v>1325.5040575587716</v>
      </c>
      <c r="J64" s="140">
        <f>+(B64*$T$3)/$B$70</f>
        <v>1202.6539958132582</v>
      </c>
      <c r="K64" s="140">
        <f>+(B64*$T$6)/$B$70</f>
        <v>601.32699790662912</v>
      </c>
      <c r="L64" s="140">
        <f t="shared" si="4"/>
        <v>50153.735051278665</v>
      </c>
      <c r="M64" s="140">
        <f t="shared" si="5"/>
        <v>593.53532605063504</v>
      </c>
      <c r="N64" s="2">
        <v>675</v>
      </c>
      <c r="O64" s="3">
        <f>+D64*N64</f>
        <v>54185.624999999993</v>
      </c>
    </row>
    <row r="65" spans="2:15" x14ac:dyDescent="0.3">
      <c r="B65" s="3">
        <v>88</v>
      </c>
      <c r="C65" s="141">
        <v>0.95</v>
      </c>
      <c r="D65" s="140">
        <f t="shared" si="0"/>
        <v>83.6</v>
      </c>
      <c r="E65" s="140">
        <v>530</v>
      </c>
      <c r="F65" s="140">
        <f t="shared" si="1"/>
        <v>46640</v>
      </c>
      <c r="G65" s="140">
        <f t="shared" si="2"/>
        <v>4.4000000000000057</v>
      </c>
      <c r="H65" s="140">
        <f t="shared" si="3"/>
        <v>2332.0000000000032</v>
      </c>
      <c r="I65" s="140">
        <f>+($T$2*B65)/$B$70</f>
        <v>1380.4065924872416</v>
      </c>
      <c r="J65" s="140">
        <f>+(B65*$T$3)/$B$70</f>
        <v>1252.46806664576</v>
      </c>
      <c r="K65" s="140">
        <f>+(B65*$T$6)/$B$70</f>
        <v>626.23403332288001</v>
      </c>
      <c r="L65" s="140">
        <f t="shared" si="4"/>
        <v>52231.108692455877</v>
      </c>
      <c r="M65" s="140">
        <f t="shared" si="5"/>
        <v>593.53532605063492</v>
      </c>
      <c r="N65" s="2">
        <v>675</v>
      </c>
      <c r="O65" s="3">
        <f>+D65*N65</f>
        <v>56429.999999999993</v>
      </c>
    </row>
    <row r="66" spans="2:15" x14ac:dyDescent="0.3">
      <c r="B66" s="10">
        <v>90.5</v>
      </c>
      <c r="C66" s="141">
        <v>0.95</v>
      </c>
      <c r="D66" s="140">
        <f t="shared" si="0"/>
        <v>85.974999999999994</v>
      </c>
      <c r="E66" s="140">
        <v>530</v>
      </c>
      <c r="F66" s="140">
        <f t="shared" si="1"/>
        <v>47965</v>
      </c>
      <c r="G66" s="140">
        <f t="shared" si="2"/>
        <v>4.5250000000000057</v>
      </c>
      <c r="H66" s="140">
        <f t="shared" si="3"/>
        <v>2398.2500000000032</v>
      </c>
      <c r="I66" s="140">
        <f>+($T$2*B66)/$B$70</f>
        <v>1419.62268886472</v>
      </c>
      <c r="J66" s="140">
        <f>+(B66*$T$3)/$B$70</f>
        <v>1288.0495458118328</v>
      </c>
      <c r="K66" s="140">
        <f>+(B66*$T$6)/$B$70</f>
        <v>644.02477290591639</v>
      </c>
      <c r="L66" s="140">
        <f t="shared" si="4"/>
        <v>53714.947007582472</v>
      </c>
      <c r="M66" s="140">
        <f t="shared" si="5"/>
        <v>593.53532605063504</v>
      </c>
      <c r="N66" s="2">
        <v>675</v>
      </c>
      <c r="O66" s="3">
        <f>+D66*N66</f>
        <v>58033.124999999993</v>
      </c>
    </row>
    <row r="67" spans="2:15" x14ac:dyDescent="0.3">
      <c r="B67" s="3">
        <v>93</v>
      </c>
      <c r="C67" s="141">
        <v>0.95</v>
      </c>
      <c r="D67" s="140">
        <f t="shared" ref="D67:D68" si="6">+B67*C67</f>
        <v>88.35</v>
      </c>
      <c r="E67" s="140">
        <v>530</v>
      </c>
      <c r="F67" s="140">
        <f t="shared" ref="F67:F68" si="7">+B67*E67</f>
        <v>49290</v>
      </c>
      <c r="G67" s="140">
        <f t="shared" ref="G67:G68" si="8">+B67-D67</f>
        <v>4.6500000000000057</v>
      </c>
      <c r="H67" s="140">
        <f t="shared" ref="H67:H68" si="9">+E67*G67</f>
        <v>2464.5000000000032</v>
      </c>
      <c r="I67" s="140">
        <f>+($T$2*B67)/$B$70</f>
        <v>1458.8387852421984</v>
      </c>
      <c r="J67" s="140">
        <f>+(B67*$T$3)/$B$70</f>
        <v>1323.6310249779056</v>
      </c>
      <c r="K67" s="140">
        <f>+(B67*$T$6)/$B$70</f>
        <v>661.81551248895278</v>
      </c>
      <c r="L67" s="140">
        <f t="shared" ref="L67:L68" si="10">+SUM(F67+H67+I67+J67+K67)</f>
        <v>55198.78532270906</v>
      </c>
      <c r="M67" s="140">
        <f t="shared" ref="M67:M68" si="11">+L67/B67</f>
        <v>593.53532605063504</v>
      </c>
      <c r="N67" s="2">
        <v>675</v>
      </c>
      <c r="O67" s="3">
        <f>+D67*N67</f>
        <v>59636.249999999993</v>
      </c>
    </row>
    <row r="68" spans="2:15" x14ac:dyDescent="0.3">
      <c r="B68" s="10">
        <v>102</v>
      </c>
      <c r="C68" s="141">
        <v>0.95</v>
      </c>
      <c r="D68" s="140">
        <f t="shared" si="6"/>
        <v>96.899999999999991</v>
      </c>
      <c r="E68" s="140">
        <v>530</v>
      </c>
      <c r="F68" s="140">
        <f t="shared" si="7"/>
        <v>54060</v>
      </c>
      <c r="G68" s="140">
        <f t="shared" si="8"/>
        <v>5.1000000000000085</v>
      </c>
      <c r="H68" s="140">
        <f t="shared" si="9"/>
        <v>2703.0000000000045</v>
      </c>
      <c r="I68" s="140">
        <f>+($T$2*B68)/$B$70</f>
        <v>1600.0167322011207</v>
      </c>
      <c r="J68" s="140">
        <f>+(B68*$T$3)/$B$70</f>
        <v>1451.7243499757672</v>
      </c>
      <c r="K68" s="140">
        <f>+(B68*$T$6)/$B$70</f>
        <v>725.86217498788358</v>
      </c>
      <c r="L68" s="140">
        <f t="shared" si="10"/>
        <v>60540.603257164774</v>
      </c>
      <c r="M68" s="140">
        <f t="shared" si="11"/>
        <v>593.53532605063504</v>
      </c>
      <c r="N68" s="2">
        <v>675</v>
      </c>
      <c r="O68" s="3">
        <f>+D68*N68</f>
        <v>65407.499999999993</v>
      </c>
    </row>
    <row r="70" spans="2:15" x14ac:dyDescent="0.3">
      <c r="B70" s="5">
        <f>+SUM(B2:B68)</f>
        <v>4781.2000000000007</v>
      </c>
      <c r="C70" s="5"/>
      <c r="D70" s="5">
        <f>+SUM(D2:D68)</f>
        <v>4542.1399999999994</v>
      </c>
      <c r="E70" s="5"/>
      <c r="F70" s="5">
        <f>+SUM(F2:F68)</f>
        <v>2534036</v>
      </c>
      <c r="G70" s="5">
        <f>+SUM(G2:G68)</f>
        <v>239.06000000000034</v>
      </c>
      <c r="H70" s="5">
        <f>+SUM(H2:H68)</f>
        <v>126701.80000000008</v>
      </c>
      <c r="I70" s="5">
        <f t="shared" ref="I70:M70" si="12">+SUM(I2:I68)</f>
        <v>74999.999999999985</v>
      </c>
      <c r="J70" s="5">
        <f t="shared" si="12"/>
        <v>68048.867275530763</v>
      </c>
      <c r="K70" s="5">
        <f t="shared" si="12"/>
        <v>34024.433637765382</v>
      </c>
      <c r="L70" s="5">
        <f>+SUM(L2:L68)</f>
        <v>2837811.100913296</v>
      </c>
      <c r="M70" s="5"/>
      <c r="O70" s="5">
        <f>+SUM(O2:O68)</f>
        <v>2898086.625</v>
      </c>
    </row>
    <row r="71" spans="2:15" x14ac:dyDescent="0.3">
      <c r="B71" s="3">
        <v>530</v>
      </c>
    </row>
    <row r="72" spans="2:15" x14ac:dyDescent="0.3">
      <c r="B72" s="3">
        <f>+B70*B71</f>
        <v>2534036.0000000005</v>
      </c>
      <c r="O72" s="17">
        <f>+O70-B74</f>
        <v>184050.62499999953</v>
      </c>
    </row>
    <row r="73" spans="2:15" x14ac:dyDescent="0.3">
      <c r="B73" s="3">
        <v>180000</v>
      </c>
    </row>
    <row r="74" spans="2:15" x14ac:dyDescent="0.3">
      <c r="B74" s="3">
        <f>+B72+B73</f>
        <v>2714036.0000000005</v>
      </c>
    </row>
    <row r="75" spans="2:15" x14ac:dyDescent="0.3">
      <c r="B75" s="3">
        <f>+B74/67</f>
        <v>40508.000000000007</v>
      </c>
    </row>
  </sheetData>
  <sortState xmlns:xlrd2="http://schemas.microsoft.com/office/spreadsheetml/2017/richdata2" ref="B2:D68">
    <sortCondition ref="B2:B6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6220-114A-4D99-B610-3A8D3BD3D4FD}">
  <sheetPr codeName="Sheet7"/>
  <dimension ref="A1:U68"/>
  <sheetViews>
    <sheetView zoomScale="85" zoomScaleNormal="85" workbookViewId="0">
      <pane xSplit="4" ySplit="5" topLeftCell="E44" activePane="bottomRight" state="frozen"/>
      <selection pane="topRight" activeCell="E1" sqref="E1"/>
      <selection pane="bottomLeft" activeCell="A6" sqref="A6"/>
      <selection pane="bottomRight" activeCell="G2" sqref="G2"/>
    </sheetView>
  </sheetViews>
  <sheetFormatPr defaultRowHeight="14.4" x14ac:dyDescent="0.3"/>
  <cols>
    <col min="1" max="1" width="14.77734375" customWidth="1"/>
    <col min="2" max="2" width="12" bestFit="1" customWidth="1"/>
    <col min="3" max="3" width="25" style="2" bestFit="1" customWidth="1"/>
    <col min="4" max="4" width="12.21875" style="2" bestFit="1" customWidth="1"/>
    <col min="5" max="5" width="13.5546875" style="2" bestFit="1" customWidth="1"/>
    <col min="6" max="6" width="13.44140625" style="3" bestFit="1" customWidth="1"/>
    <col min="7" max="7" width="14.5546875" style="3" bestFit="1" customWidth="1"/>
    <col min="8" max="8" width="12.109375" style="3" customWidth="1"/>
    <col min="9" max="9" width="18.5546875" style="3" bestFit="1" customWidth="1"/>
    <col min="10" max="10" width="13.44140625" style="3" bestFit="1" customWidth="1"/>
    <col min="11" max="11" width="11.6640625" style="3" bestFit="1" customWidth="1"/>
    <col min="12" max="12" width="12.44140625" style="15" bestFit="1" customWidth="1"/>
    <col min="13" max="13" width="13.44140625" style="1" bestFit="1" customWidth="1"/>
    <col min="14" max="14" width="12.33203125" bestFit="1" customWidth="1"/>
    <col min="15" max="15" width="13.44140625" style="1" bestFit="1" customWidth="1"/>
    <col min="16" max="16" width="15.33203125" style="15" customWidth="1"/>
    <col min="17" max="17" width="11.109375" style="15" bestFit="1" customWidth="1"/>
    <col min="18" max="18" width="10.109375" style="15" bestFit="1" customWidth="1"/>
    <col min="19" max="19" width="12.33203125" style="15" bestFit="1" customWidth="1"/>
    <col min="20" max="20" width="9.6640625" bestFit="1" customWidth="1"/>
    <col min="21" max="21" width="12.33203125" bestFit="1" customWidth="1"/>
  </cols>
  <sheetData>
    <row r="1" spans="1:19" ht="28.8" x14ac:dyDescent="0.3">
      <c r="A1" s="29" t="s">
        <v>26</v>
      </c>
      <c r="B1" s="30">
        <v>82000</v>
      </c>
      <c r="C1" s="15" t="s">
        <v>24</v>
      </c>
      <c r="D1" s="30">
        <v>90000</v>
      </c>
      <c r="E1" s="15" t="s">
        <v>29</v>
      </c>
      <c r="F1" s="27">
        <v>46126</v>
      </c>
      <c r="G1" s="27">
        <v>46162</v>
      </c>
      <c r="H1" s="15">
        <f>+G1-F1</f>
        <v>36</v>
      </c>
      <c r="I1" s="15"/>
      <c r="J1" s="28"/>
      <c r="K1" s="15"/>
      <c r="N1" s="1"/>
    </row>
    <row r="2" spans="1:19" x14ac:dyDescent="0.3">
      <c r="A2" s="15" t="s">
        <v>27</v>
      </c>
      <c r="B2" s="15">
        <v>90</v>
      </c>
      <c r="C2" s="15" t="s">
        <v>27</v>
      </c>
      <c r="D2" s="15">
        <v>90</v>
      </c>
      <c r="E2" s="15" t="s">
        <v>30</v>
      </c>
      <c r="F2" s="15">
        <v>90</v>
      </c>
      <c r="G2" s="15" t="s">
        <v>32</v>
      </c>
      <c r="H2" s="15">
        <f>+F2*H1</f>
        <v>3240</v>
      </c>
      <c r="I2" s="15"/>
      <c r="J2" s="15"/>
      <c r="K2" s="15"/>
      <c r="N2" s="1"/>
    </row>
    <row r="3" spans="1:19" x14ac:dyDescent="0.3">
      <c r="A3" s="15" t="s">
        <v>28</v>
      </c>
      <c r="B3" s="15">
        <f>+B1/B2</f>
        <v>911.11111111111109</v>
      </c>
      <c r="C3" s="15" t="s">
        <v>28</v>
      </c>
      <c r="D3" s="15">
        <f>+D1/D2</f>
        <v>1000</v>
      </c>
      <c r="E3" s="15" t="s">
        <v>31</v>
      </c>
      <c r="F3" s="15">
        <v>90</v>
      </c>
      <c r="G3" s="15" t="s">
        <v>38</v>
      </c>
      <c r="H3" s="30">
        <f>+H1*F2*F3</f>
        <v>291600</v>
      </c>
      <c r="I3" s="15"/>
      <c r="J3" s="15"/>
      <c r="K3" s="15"/>
      <c r="N3" s="1"/>
    </row>
    <row r="4" spans="1:19" x14ac:dyDescent="0.3">
      <c r="A4" s="1"/>
      <c r="B4" s="1"/>
      <c r="C4" s="3"/>
      <c r="D4" s="3"/>
      <c r="E4" s="3"/>
      <c r="N4" s="1"/>
    </row>
    <row r="5" spans="1:19" s="4" customFormat="1" x14ac:dyDescent="0.3">
      <c r="A5" s="4" t="s">
        <v>0</v>
      </c>
      <c r="B5" s="4" t="s">
        <v>20</v>
      </c>
      <c r="C5" s="4" t="s">
        <v>2</v>
      </c>
      <c r="D5" s="4" t="s">
        <v>1</v>
      </c>
      <c r="E5" s="23" t="s">
        <v>21</v>
      </c>
      <c r="F5" s="24" t="s">
        <v>22</v>
      </c>
      <c r="G5" s="24" t="s">
        <v>23</v>
      </c>
      <c r="H5" s="24" t="s">
        <v>24</v>
      </c>
      <c r="I5" s="24" t="s">
        <v>4</v>
      </c>
      <c r="J5" s="24" t="s">
        <v>25</v>
      </c>
      <c r="K5" s="24" t="s">
        <v>34</v>
      </c>
      <c r="L5" s="34" t="s">
        <v>3</v>
      </c>
      <c r="M5" s="33" t="s">
        <v>5</v>
      </c>
      <c r="N5" s="22" t="s">
        <v>4</v>
      </c>
      <c r="O5" s="33" t="s">
        <v>7</v>
      </c>
      <c r="P5" s="34" t="s">
        <v>33</v>
      </c>
      <c r="Q5" s="34" t="s">
        <v>35</v>
      </c>
      <c r="R5" s="34" t="s">
        <v>36</v>
      </c>
      <c r="S5" s="34" t="s">
        <v>33</v>
      </c>
    </row>
    <row r="6" spans="1:19" x14ac:dyDescent="0.3">
      <c r="A6">
        <v>1</v>
      </c>
      <c r="B6" s="19">
        <v>46125</v>
      </c>
      <c r="C6" s="2" t="s">
        <v>6</v>
      </c>
      <c r="D6" s="2">
        <v>83</v>
      </c>
      <c r="E6" s="2">
        <v>475</v>
      </c>
      <c r="F6" s="3">
        <f>+D6*E6</f>
        <v>39425</v>
      </c>
      <c r="G6" s="3">
        <f>+$B$3</f>
        <v>911.11111111111109</v>
      </c>
      <c r="H6" s="3">
        <f>+$D$3</f>
        <v>1000</v>
      </c>
      <c r="I6" s="3">
        <f>+$H$2</f>
        <v>3240</v>
      </c>
      <c r="J6" s="3">
        <f>+SUM(F6:I6)</f>
        <v>44576.111111111109</v>
      </c>
      <c r="K6" s="3">
        <f>+J6/D6</f>
        <v>537.06157965194109</v>
      </c>
      <c r="L6" s="15">
        <v>600</v>
      </c>
      <c r="M6" s="1">
        <f>+D6*L6</f>
        <v>49800</v>
      </c>
      <c r="N6" s="1">
        <v>4000</v>
      </c>
      <c r="O6" s="1">
        <f>+M6+N6</f>
        <v>53800</v>
      </c>
      <c r="P6" s="15">
        <f>+O6-J6</f>
        <v>9223.8888888888905</v>
      </c>
      <c r="Q6" s="15">
        <f>+O6/D6</f>
        <v>648.19277108433732</v>
      </c>
      <c r="R6" s="15">
        <f>+Q6-K6</f>
        <v>111.13119143239624</v>
      </c>
      <c r="S6" s="15">
        <f>+R6*D6</f>
        <v>9223.8888888888869</v>
      </c>
    </row>
    <row r="7" spans="1:19" x14ac:dyDescent="0.3">
      <c r="A7">
        <v>2</v>
      </c>
      <c r="B7" s="19">
        <v>46126</v>
      </c>
      <c r="C7" s="2" t="s">
        <v>8</v>
      </c>
      <c r="D7" s="122">
        <v>136</v>
      </c>
      <c r="E7" s="2">
        <v>475</v>
      </c>
      <c r="F7" s="118">
        <f>+D7*E7</f>
        <v>64600</v>
      </c>
      <c r="G7" s="3">
        <f t="shared" ref="G7:G56" si="0">+$B$3</f>
        <v>911.11111111111109</v>
      </c>
      <c r="H7" s="3">
        <f t="shared" ref="H7:H56" si="1">+$D$3</f>
        <v>1000</v>
      </c>
      <c r="I7" s="3">
        <f t="shared" ref="I7:I56" si="2">+$H$2</f>
        <v>3240</v>
      </c>
      <c r="J7" s="118">
        <f>+F7+SUM(G7:I7)+SUM(G8:I8)</f>
        <v>74902.222222222219</v>
      </c>
      <c r="K7" s="118">
        <f>+J7/D7</f>
        <v>550.75163398692803</v>
      </c>
      <c r="L7" s="118">
        <v>600</v>
      </c>
      <c r="M7" s="118">
        <f>+D7*L7</f>
        <v>81600</v>
      </c>
      <c r="N7" s="1">
        <v>4000</v>
      </c>
      <c r="O7" s="118">
        <f>+M7+N7+N8</f>
        <v>89600</v>
      </c>
      <c r="P7" s="118">
        <f>+O7-J7</f>
        <v>14697.777777777781</v>
      </c>
      <c r="Q7" s="118">
        <f>+O7/D7</f>
        <v>658.82352941176475</v>
      </c>
      <c r="R7" s="118">
        <f>+Q7-K7</f>
        <v>108.07189542483673</v>
      </c>
      <c r="S7" s="118">
        <f>+R7*D7</f>
        <v>14697.777777777796</v>
      </c>
    </row>
    <row r="8" spans="1:19" x14ac:dyDescent="0.3">
      <c r="A8">
        <v>3</v>
      </c>
      <c r="B8" s="19">
        <v>46126</v>
      </c>
      <c r="C8" s="2" t="s">
        <v>8</v>
      </c>
      <c r="D8" s="122"/>
      <c r="E8" s="2">
        <v>475</v>
      </c>
      <c r="F8" s="118"/>
      <c r="G8" s="3">
        <f t="shared" si="0"/>
        <v>911.11111111111109</v>
      </c>
      <c r="H8" s="3">
        <f t="shared" si="1"/>
        <v>1000</v>
      </c>
      <c r="I8" s="3">
        <f t="shared" si="2"/>
        <v>3240</v>
      </c>
      <c r="J8" s="118"/>
      <c r="K8" s="118"/>
      <c r="L8" s="118"/>
      <c r="M8" s="118"/>
      <c r="N8" s="1">
        <v>4000</v>
      </c>
      <c r="O8" s="118"/>
      <c r="P8" s="118"/>
      <c r="Q8" s="118"/>
      <c r="R8" s="118"/>
      <c r="S8" s="118"/>
    </row>
    <row r="9" spans="1:19" x14ac:dyDescent="0.3">
      <c r="A9">
        <v>4</v>
      </c>
      <c r="B9" s="19">
        <v>46130</v>
      </c>
      <c r="C9" s="2" t="s">
        <v>9</v>
      </c>
      <c r="D9" s="122">
        <v>132</v>
      </c>
      <c r="E9" s="2">
        <v>475</v>
      </c>
      <c r="F9" s="118">
        <f>+D9*E9</f>
        <v>62700</v>
      </c>
      <c r="G9" s="3">
        <f t="shared" si="0"/>
        <v>911.11111111111109</v>
      </c>
      <c r="H9" s="3">
        <f t="shared" si="1"/>
        <v>1000</v>
      </c>
      <c r="I9" s="3">
        <f t="shared" si="2"/>
        <v>3240</v>
      </c>
      <c r="J9" s="120">
        <f>+F9+SUM(G9:I9)+SUM(G10:I10)</f>
        <v>73002.222222222219</v>
      </c>
      <c r="K9" s="118">
        <f>+J9/D9</f>
        <v>553.04713804713799</v>
      </c>
      <c r="L9" s="118">
        <v>600</v>
      </c>
      <c r="M9" s="118">
        <f>+D9*L9</f>
        <v>79200</v>
      </c>
      <c r="N9" s="1">
        <v>3000</v>
      </c>
      <c r="O9" s="118">
        <f>+M9+N9+N10</f>
        <v>85200</v>
      </c>
      <c r="P9" s="118">
        <f>+O9-J9</f>
        <v>12197.777777777781</v>
      </c>
      <c r="Q9" s="118">
        <f>+O9/D9</f>
        <v>645.4545454545455</v>
      </c>
      <c r="R9" s="118">
        <f>+Q9-K9</f>
        <v>92.407407407407504</v>
      </c>
      <c r="S9" s="118">
        <f>+R9*D9</f>
        <v>12197.77777777779</v>
      </c>
    </row>
    <row r="10" spans="1:19" x14ac:dyDescent="0.3">
      <c r="A10">
        <v>5</v>
      </c>
      <c r="B10" s="19">
        <v>46130</v>
      </c>
      <c r="C10" s="2" t="s">
        <v>9</v>
      </c>
      <c r="D10" s="122"/>
      <c r="E10" s="2">
        <v>475</v>
      </c>
      <c r="F10" s="118"/>
      <c r="G10" s="3">
        <f t="shared" si="0"/>
        <v>911.11111111111109</v>
      </c>
      <c r="H10" s="3">
        <f t="shared" si="1"/>
        <v>1000</v>
      </c>
      <c r="I10" s="3">
        <f t="shared" si="2"/>
        <v>3240</v>
      </c>
      <c r="J10" s="120"/>
      <c r="K10" s="118"/>
      <c r="L10" s="118"/>
      <c r="M10" s="118"/>
      <c r="N10" s="1">
        <v>3000</v>
      </c>
      <c r="O10" s="118"/>
      <c r="P10" s="118"/>
      <c r="Q10" s="118"/>
      <c r="R10" s="118"/>
      <c r="S10" s="118"/>
    </row>
    <row r="11" spans="1:19" x14ac:dyDescent="0.3">
      <c r="A11">
        <v>6</v>
      </c>
      <c r="B11" s="19">
        <v>46130</v>
      </c>
      <c r="C11" s="2" t="s">
        <v>10</v>
      </c>
      <c r="D11" s="122">
        <v>358</v>
      </c>
      <c r="E11" s="2">
        <v>475</v>
      </c>
      <c r="F11" s="118">
        <f>+D11*E11</f>
        <v>170050</v>
      </c>
      <c r="G11" s="3">
        <f t="shared" si="0"/>
        <v>911.11111111111109</v>
      </c>
      <c r="H11" s="3">
        <f t="shared" si="1"/>
        <v>1000</v>
      </c>
      <c r="I11" s="3">
        <f t="shared" si="2"/>
        <v>3240</v>
      </c>
      <c r="J11" s="118">
        <f>+F11+SUM(G11:G15)+SUM(H11:H15)+SUM(I11:I15)</f>
        <v>195805.55555555556</v>
      </c>
      <c r="K11" s="118">
        <f>+J11/D11</f>
        <v>546.94289261328368</v>
      </c>
      <c r="L11" s="118">
        <v>600</v>
      </c>
      <c r="M11" s="118">
        <f>+D11*L11</f>
        <v>214800</v>
      </c>
      <c r="N11" s="1">
        <v>3000</v>
      </c>
      <c r="O11" s="118">
        <f>+M11+SUM(N11:N15)</f>
        <v>229800</v>
      </c>
      <c r="P11" s="118">
        <f>+O11-J11</f>
        <v>33994.444444444438</v>
      </c>
      <c r="Q11" s="118">
        <f>+O11/D11</f>
        <v>641.89944134078212</v>
      </c>
      <c r="R11" s="118">
        <f>+Q11-K11</f>
        <v>94.956548727498443</v>
      </c>
      <c r="S11" s="118">
        <f>+R11*D11</f>
        <v>33994.444444444445</v>
      </c>
    </row>
    <row r="12" spans="1:19" x14ac:dyDescent="0.3">
      <c r="A12">
        <v>7</v>
      </c>
      <c r="B12" s="19">
        <v>46130</v>
      </c>
      <c r="C12" s="2" t="s">
        <v>10</v>
      </c>
      <c r="D12" s="122"/>
      <c r="E12" s="2">
        <v>475</v>
      </c>
      <c r="F12" s="118"/>
      <c r="G12" s="3">
        <f t="shared" si="0"/>
        <v>911.11111111111109</v>
      </c>
      <c r="H12" s="3">
        <f t="shared" si="1"/>
        <v>1000</v>
      </c>
      <c r="I12" s="3">
        <f t="shared" si="2"/>
        <v>3240</v>
      </c>
      <c r="J12" s="118"/>
      <c r="K12" s="118"/>
      <c r="L12" s="118"/>
      <c r="M12" s="118"/>
      <c r="N12" s="1">
        <v>3000</v>
      </c>
      <c r="O12" s="118"/>
      <c r="P12" s="118"/>
      <c r="Q12" s="118"/>
      <c r="R12" s="118"/>
      <c r="S12" s="118"/>
    </row>
    <row r="13" spans="1:19" x14ac:dyDescent="0.3">
      <c r="A13">
        <v>8</v>
      </c>
      <c r="B13" s="19">
        <v>46130</v>
      </c>
      <c r="C13" s="2" t="s">
        <v>10</v>
      </c>
      <c r="D13" s="122"/>
      <c r="E13" s="2">
        <v>475</v>
      </c>
      <c r="F13" s="118"/>
      <c r="G13" s="3">
        <f t="shared" si="0"/>
        <v>911.11111111111109</v>
      </c>
      <c r="H13" s="3">
        <f t="shared" si="1"/>
        <v>1000</v>
      </c>
      <c r="I13" s="3">
        <f t="shared" si="2"/>
        <v>3240</v>
      </c>
      <c r="J13" s="118"/>
      <c r="K13" s="118"/>
      <c r="L13" s="118"/>
      <c r="M13" s="118"/>
      <c r="N13" s="1">
        <v>3000</v>
      </c>
      <c r="O13" s="118"/>
      <c r="P13" s="118"/>
      <c r="Q13" s="118"/>
      <c r="R13" s="118"/>
      <c r="S13" s="118"/>
    </row>
    <row r="14" spans="1:19" x14ac:dyDescent="0.3">
      <c r="A14">
        <v>9</v>
      </c>
      <c r="B14" s="19">
        <v>46130</v>
      </c>
      <c r="C14" s="2" t="s">
        <v>10</v>
      </c>
      <c r="D14" s="122"/>
      <c r="E14" s="2">
        <v>475</v>
      </c>
      <c r="F14" s="118"/>
      <c r="G14" s="3">
        <f t="shared" si="0"/>
        <v>911.11111111111109</v>
      </c>
      <c r="H14" s="3">
        <f t="shared" si="1"/>
        <v>1000</v>
      </c>
      <c r="I14" s="3">
        <f t="shared" si="2"/>
        <v>3240</v>
      </c>
      <c r="J14" s="118"/>
      <c r="K14" s="118"/>
      <c r="L14" s="118"/>
      <c r="M14" s="118"/>
      <c r="N14" s="1">
        <v>3000</v>
      </c>
      <c r="O14" s="118"/>
      <c r="P14" s="118"/>
      <c r="Q14" s="118"/>
      <c r="R14" s="118"/>
      <c r="S14" s="118"/>
    </row>
    <row r="15" spans="1:19" x14ac:dyDescent="0.3">
      <c r="A15">
        <v>10</v>
      </c>
      <c r="B15" s="19">
        <v>46130</v>
      </c>
      <c r="C15" s="2" t="s">
        <v>10</v>
      </c>
      <c r="D15" s="122"/>
      <c r="E15" s="2">
        <v>475</v>
      </c>
      <c r="F15" s="118"/>
      <c r="G15" s="3">
        <f t="shared" si="0"/>
        <v>911.11111111111109</v>
      </c>
      <c r="H15" s="3">
        <f t="shared" si="1"/>
        <v>1000</v>
      </c>
      <c r="I15" s="3">
        <f t="shared" si="2"/>
        <v>3240</v>
      </c>
      <c r="J15" s="118"/>
      <c r="K15" s="118"/>
      <c r="L15" s="118"/>
      <c r="M15" s="118"/>
      <c r="N15" s="1">
        <v>3000</v>
      </c>
      <c r="O15" s="118"/>
      <c r="P15" s="118"/>
      <c r="Q15" s="118"/>
      <c r="R15" s="118"/>
      <c r="S15" s="118"/>
    </row>
    <row r="16" spans="1:19" x14ac:dyDescent="0.3">
      <c r="A16">
        <v>11</v>
      </c>
      <c r="B16" s="19">
        <v>46130</v>
      </c>
      <c r="C16" s="2" t="s">
        <v>11</v>
      </c>
      <c r="D16" s="122">
        <v>144</v>
      </c>
      <c r="E16" s="2">
        <v>475</v>
      </c>
      <c r="F16" s="118">
        <f>+D16*E16</f>
        <v>68400</v>
      </c>
      <c r="G16" s="3">
        <f t="shared" si="0"/>
        <v>911.11111111111109</v>
      </c>
      <c r="H16" s="3">
        <f t="shared" si="1"/>
        <v>1000</v>
      </c>
      <c r="I16" s="3">
        <f t="shared" si="2"/>
        <v>3240</v>
      </c>
      <c r="J16" s="118">
        <f>+F16+SUM(G16:I16)+SUM(G17:I17)</f>
        <v>78702.222222222219</v>
      </c>
      <c r="K16" s="120">
        <f>+J16/D16</f>
        <v>546.54320987654319</v>
      </c>
      <c r="L16" s="118">
        <v>600</v>
      </c>
      <c r="M16" s="118">
        <f>+D16*L16</f>
        <v>86400</v>
      </c>
      <c r="N16" s="1">
        <v>3300</v>
      </c>
      <c r="O16" s="118">
        <f>+M16+N16+N17</f>
        <v>93000</v>
      </c>
      <c r="P16" s="118">
        <f>+O16-J16</f>
        <v>14297.777777777781</v>
      </c>
      <c r="Q16" s="118">
        <f>+O16/D16</f>
        <v>645.83333333333337</v>
      </c>
      <c r="R16" s="118">
        <f>+Q16-K16</f>
        <v>99.290123456790184</v>
      </c>
      <c r="S16" s="118">
        <f>+R16*D16</f>
        <v>14297.777777777786</v>
      </c>
    </row>
    <row r="17" spans="1:19" x14ac:dyDescent="0.3">
      <c r="A17">
        <v>12</v>
      </c>
      <c r="B17" s="19">
        <v>46130</v>
      </c>
      <c r="C17" s="2" t="s">
        <v>11</v>
      </c>
      <c r="D17" s="122"/>
      <c r="E17" s="2">
        <v>475</v>
      </c>
      <c r="F17" s="118"/>
      <c r="G17" s="3">
        <f t="shared" si="0"/>
        <v>911.11111111111109</v>
      </c>
      <c r="H17" s="3">
        <f t="shared" si="1"/>
        <v>1000</v>
      </c>
      <c r="I17" s="3">
        <f t="shared" si="2"/>
        <v>3240</v>
      </c>
      <c r="J17" s="118"/>
      <c r="K17" s="120"/>
      <c r="L17" s="118"/>
      <c r="M17" s="118"/>
      <c r="N17" s="1">
        <v>3300</v>
      </c>
      <c r="O17" s="118"/>
      <c r="P17" s="118"/>
      <c r="Q17" s="118"/>
      <c r="R17" s="118"/>
      <c r="S17" s="118"/>
    </row>
    <row r="18" spans="1:19" x14ac:dyDescent="0.3">
      <c r="A18">
        <v>13</v>
      </c>
      <c r="B18" s="19">
        <v>46130</v>
      </c>
      <c r="C18" s="2" t="s">
        <v>12</v>
      </c>
      <c r="D18" s="122">
        <v>128</v>
      </c>
      <c r="E18" s="2">
        <v>475</v>
      </c>
      <c r="F18" s="118">
        <f>+D18*E18</f>
        <v>60800</v>
      </c>
      <c r="G18" s="3">
        <f t="shared" si="0"/>
        <v>911.11111111111109</v>
      </c>
      <c r="H18" s="3">
        <f t="shared" si="1"/>
        <v>1000</v>
      </c>
      <c r="I18" s="3">
        <f t="shared" si="2"/>
        <v>3240</v>
      </c>
      <c r="J18" s="118">
        <f>+F18+SUM(G18:I18)+SUM(G19:I19)</f>
        <v>71102.222222222219</v>
      </c>
      <c r="K18" s="118">
        <f>+J18/D18</f>
        <v>555.48611111111109</v>
      </c>
      <c r="L18" s="118">
        <v>600</v>
      </c>
      <c r="M18" s="118">
        <f>+D18*L18</f>
        <v>76800</v>
      </c>
      <c r="N18" s="1">
        <v>3300</v>
      </c>
      <c r="O18" s="118">
        <f>+M18+N18+N19</f>
        <v>83400</v>
      </c>
      <c r="P18" s="118">
        <f>+O18-J18</f>
        <v>12297.777777777781</v>
      </c>
      <c r="Q18" s="118">
        <f>+O18/D18</f>
        <v>651.5625</v>
      </c>
      <c r="R18" s="118">
        <f>+Q18-K18</f>
        <v>96.076388888888914</v>
      </c>
      <c r="S18" s="118">
        <f>+R18*D18</f>
        <v>12297.777777777781</v>
      </c>
    </row>
    <row r="19" spans="1:19" x14ac:dyDescent="0.3">
      <c r="A19">
        <v>14</v>
      </c>
      <c r="B19" s="19">
        <v>46130</v>
      </c>
      <c r="C19" s="2" t="s">
        <v>12</v>
      </c>
      <c r="D19" s="122"/>
      <c r="E19" s="2">
        <v>475</v>
      </c>
      <c r="F19" s="118"/>
      <c r="G19" s="3">
        <f t="shared" si="0"/>
        <v>911.11111111111109</v>
      </c>
      <c r="H19" s="3">
        <f t="shared" si="1"/>
        <v>1000</v>
      </c>
      <c r="I19" s="3">
        <f t="shared" si="2"/>
        <v>3240</v>
      </c>
      <c r="J19" s="118"/>
      <c r="K19" s="118"/>
      <c r="L19" s="118"/>
      <c r="M19" s="118"/>
      <c r="N19" s="1">
        <v>3300</v>
      </c>
      <c r="O19" s="118"/>
      <c r="P19" s="118"/>
      <c r="Q19" s="118"/>
      <c r="R19" s="118"/>
      <c r="S19" s="118"/>
    </row>
    <row r="20" spans="1:19" x14ac:dyDescent="0.3">
      <c r="A20">
        <v>15</v>
      </c>
      <c r="B20" s="19">
        <v>46131</v>
      </c>
      <c r="C20" s="2" t="s">
        <v>13</v>
      </c>
      <c r="D20" s="122">
        <v>123</v>
      </c>
      <c r="E20" s="2">
        <v>475</v>
      </c>
      <c r="F20" s="118">
        <f>+D20*E20</f>
        <v>58425</v>
      </c>
      <c r="G20" s="3">
        <f t="shared" si="0"/>
        <v>911.11111111111109</v>
      </c>
      <c r="H20" s="3">
        <f t="shared" si="1"/>
        <v>1000</v>
      </c>
      <c r="I20" s="3">
        <f t="shared" si="2"/>
        <v>3240</v>
      </c>
      <c r="J20" s="118">
        <f>+F20+SUM(G20:I20)+SUM(G21:I21)</f>
        <v>68727.222222222219</v>
      </c>
      <c r="K20" s="118">
        <f>+J20/D20</f>
        <v>558.75790424570914</v>
      </c>
      <c r="L20" s="118">
        <v>626.01700000000005</v>
      </c>
      <c r="M20" s="1">
        <f>+D20*L20</f>
        <v>77000.091</v>
      </c>
      <c r="N20" s="1">
        <v>3500</v>
      </c>
      <c r="O20" s="118">
        <f>+SUM(M20+N20+N21)</f>
        <v>84000.091</v>
      </c>
      <c r="P20" s="118">
        <f>+O20-J20</f>
        <v>15272.868777777781</v>
      </c>
      <c r="Q20" s="118">
        <f>+O20/D20</f>
        <v>682.92756910569108</v>
      </c>
      <c r="R20" s="118">
        <f>+Q20-K20</f>
        <v>124.16966485998194</v>
      </c>
      <c r="S20" s="118">
        <f>+R20*D20</f>
        <v>15272.868777777778</v>
      </c>
    </row>
    <row r="21" spans="1:19" x14ac:dyDescent="0.3">
      <c r="A21">
        <v>16</v>
      </c>
      <c r="B21" s="19">
        <v>46131</v>
      </c>
      <c r="C21" s="2" t="s">
        <v>13</v>
      </c>
      <c r="D21" s="122"/>
      <c r="E21" s="2">
        <v>475</v>
      </c>
      <c r="F21" s="118"/>
      <c r="G21" s="3">
        <f t="shared" si="0"/>
        <v>911.11111111111109</v>
      </c>
      <c r="H21" s="3">
        <f t="shared" si="1"/>
        <v>1000</v>
      </c>
      <c r="I21" s="3">
        <f t="shared" si="2"/>
        <v>3240</v>
      </c>
      <c r="J21" s="118"/>
      <c r="K21" s="118"/>
      <c r="L21" s="118"/>
      <c r="M21" s="1">
        <f>+D21*L21</f>
        <v>0</v>
      </c>
      <c r="N21" s="1">
        <v>3500</v>
      </c>
      <c r="O21" s="118"/>
      <c r="P21" s="118"/>
      <c r="Q21" s="118"/>
      <c r="R21" s="118"/>
      <c r="S21" s="118"/>
    </row>
    <row r="22" spans="1:19" x14ac:dyDescent="0.3">
      <c r="A22">
        <v>17</v>
      </c>
      <c r="B22" s="19">
        <v>46131</v>
      </c>
      <c r="C22" s="2" t="s">
        <v>14</v>
      </c>
      <c r="D22" s="122">
        <v>115</v>
      </c>
      <c r="E22" s="2">
        <v>475</v>
      </c>
      <c r="F22" s="118">
        <f>+D22*E22</f>
        <v>54625</v>
      </c>
      <c r="G22" s="3">
        <f t="shared" si="0"/>
        <v>911.11111111111109</v>
      </c>
      <c r="H22" s="3">
        <f t="shared" si="1"/>
        <v>1000</v>
      </c>
      <c r="I22" s="3">
        <f t="shared" si="2"/>
        <v>3240</v>
      </c>
      <c r="J22" s="118">
        <f>+SUM(F22+SUM(G22:I22)+SUM(G23:I23))</f>
        <v>64927.222222222219</v>
      </c>
      <c r="K22" s="118">
        <f>+J22/D22</f>
        <v>564.58454106280192</v>
      </c>
      <c r="L22" s="118">
        <v>600</v>
      </c>
      <c r="M22" s="118">
        <f>+D22*L22</f>
        <v>69000</v>
      </c>
      <c r="N22" s="1">
        <v>3000</v>
      </c>
      <c r="O22" s="118">
        <f>+M22+N22+N23</f>
        <v>75000</v>
      </c>
      <c r="P22" s="118">
        <f>+O22-J22</f>
        <v>10072.777777777781</v>
      </c>
      <c r="Q22" s="118">
        <f>+O22/D22</f>
        <v>652.17391304347825</v>
      </c>
      <c r="R22" s="118">
        <f>+Q22-K22</f>
        <v>87.589371980676333</v>
      </c>
      <c r="S22" s="118">
        <f>+R22*D22</f>
        <v>10072.777777777777</v>
      </c>
    </row>
    <row r="23" spans="1:19" x14ac:dyDescent="0.3">
      <c r="A23">
        <v>18</v>
      </c>
      <c r="B23" s="19">
        <v>46131</v>
      </c>
      <c r="C23" s="2" t="s">
        <v>14</v>
      </c>
      <c r="D23" s="122"/>
      <c r="E23" s="2">
        <v>475</v>
      </c>
      <c r="F23" s="118"/>
      <c r="G23" s="3">
        <f t="shared" si="0"/>
        <v>911.11111111111109</v>
      </c>
      <c r="H23" s="3">
        <f t="shared" si="1"/>
        <v>1000</v>
      </c>
      <c r="I23" s="3">
        <f t="shared" si="2"/>
        <v>3240</v>
      </c>
      <c r="J23" s="122"/>
      <c r="K23" s="118"/>
      <c r="L23" s="118"/>
      <c r="M23" s="118"/>
      <c r="N23" s="1">
        <v>3000</v>
      </c>
      <c r="O23" s="118"/>
      <c r="P23" s="118"/>
      <c r="Q23" s="118"/>
      <c r="R23" s="118"/>
      <c r="S23" s="118"/>
    </row>
    <row r="24" spans="1:19" x14ac:dyDescent="0.3">
      <c r="A24">
        <v>19</v>
      </c>
      <c r="B24" s="19">
        <v>46131</v>
      </c>
      <c r="C24" s="2" t="s">
        <v>15</v>
      </c>
      <c r="D24" s="122">
        <v>136</v>
      </c>
      <c r="E24" s="2">
        <v>475</v>
      </c>
      <c r="F24" s="118">
        <f>+D24*E24</f>
        <v>64600</v>
      </c>
      <c r="G24" s="3">
        <f t="shared" si="0"/>
        <v>911.11111111111109</v>
      </c>
      <c r="H24" s="3">
        <f t="shared" si="1"/>
        <v>1000</v>
      </c>
      <c r="I24" s="3">
        <f t="shared" si="2"/>
        <v>3240</v>
      </c>
      <c r="J24" s="118">
        <f>+F24+SUM(G24:I24)+SUM(G25:I25)</f>
        <v>74902.222222222219</v>
      </c>
      <c r="K24" s="118">
        <f>+J24/D24</f>
        <v>550.75163398692803</v>
      </c>
      <c r="L24" s="118">
        <v>600</v>
      </c>
      <c r="M24" s="118">
        <f>+D24*L24</f>
        <v>81600</v>
      </c>
      <c r="N24" s="1">
        <v>3400</v>
      </c>
      <c r="O24" s="118">
        <f>+M24+N24+N25</f>
        <v>88400</v>
      </c>
      <c r="P24" s="118">
        <f>+O24-J24</f>
        <v>13497.777777777781</v>
      </c>
      <c r="Q24" s="118">
        <f>+O24/D24</f>
        <v>650</v>
      </c>
      <c r="R24" s="118">
        <f>+Q24-K24</f>
        <v>99.248366013071973</v>
      </c>
      <c r="S24" s="118">
        <f>+R24*D24</f>
        <v>13497.777777777788</v>
      </c>
    </row>
    <row r="25" spans="1:19" x14ac:dyDescent="0.3">
      <c r="A25">
        <v>20</v>
      </c>
      <c r="B25" s="19">
        <v>46131</v>
      </c>
      <c r="C25" s="2" t="s">
        <v>15</v>
      </c>
      <c r="D25" s="122"/>
      <c r="E25" s="2">
        <v>475</v>
      </c>
      <c r="F25" s="118"/>
      <c r="G25" s="3">
        <f t="shared" si="0"/>
        <v>911.11111111111109</v>
      </c>
      <c r="H25" s="3">
        <f t="shared" si="1"/>
        <v>1000</v>
      </c>
      <c r="I25" s="3">
        <f t="shared" si="2"/>
        <v>3240</v>
      </c>
      <c r="J25" s="122"/>
      <c r="K25" s="118"/>
      <c r="L25" s="118"/>
      <c r="M25" s="118"/>
      <c r="N25" s="1">
        <v>3400</v>
      </c>
      <c r="O25" s="118"/>
      <c r="P25" s="118"/>
      <c r="Q25" s="118"/>
      <c r="R25" s="118"/>
      <c r="S25" s="118"/>
    </row>
    <row r="26" spans="1:19" x14ac:dyDescent="0.3">
      <c r="A26">
        <v>21</v>
      </c>
      <c r="B26" s="19">
        <v>46131</v>
      </c>
      <c r="C26" s="2" t="s">
        <v>16</v>
      </c>
      <c r="D26" s="122">
        <v>374</v>
      </c>
      <c r="E26" s="2">
        <v>475</v>
      </c>
      <c r="F26" s="118">
        <f>+D26*E26</f>
        <v>177650</v>
      </c>
      <c r="G26" s="3">
        <f t="shared" si="0"/>
        <v>911.11111111111109</v>
      </c>
      <c r="H26" s="3">
        <f t="shared" si="1"/>
        <v>1000</v>
      </c>
      <c r="I26" s="3">
        <f t="shared" si="2"/>
        <v>3240</v>
      </c>
      <c r="J26" s="118">
        <f>+SUM(F26+SUM(G26:G31)+SUM(H26:H31)+SUM(I26:I31))</f>
        <v>208556.66666666666</v>
      </c>
      <c r="K26" s="118">
        <f>+J26/D26</f>
        <v>557.63814616755792</v>
      </c>
      <c r="L26" s="118">
        <v>600</v>
      </c>
      <c r="M26" s="118">
        <f>+D26*L26</f>
        <v>224400</v>
      </c>
      <c r="N26" s="1">
        <v>3000</v>
      </c>
      <c r="O26" s="118">
        <f>+M26+SUM(N26:N31)</f>
        <v>242400</v>
      </c>
      <c r="P26" s="118">
        <f>+O26-J26</f>
        <v>33843.333333333343</v>
      </c>
      <c r="Q26" s="118">
        <f>+O26/D26</f>
        <v>648.1283422459893</v>
      </c>
      <c r="R26" s="118">
        <f>+Q26-K26</f>
        <v>90.490196078431381</v>
      </c>
      <c r="S26" s="118">
        <f>+R26*D26</f>
        <v>33843.333333333336</v>
      </c>
    </row>
    <row r="27" spans="1:19" x14ac:dyDescent="0.3">
      <c r="A27">
        <v>22</v>
      </c>
      <c r="B27" s="19">
        <v>46131</v>
      </c>
      <c r="C27" s="2" t="s">
        <v>16</v>
      </c>
      <c r="D27" s="122"/>
      <c r="E27" s="2">
        <v>475</v>
      </c>
      <c r="F27" s="118"/>
      <c r="G27" s="3">
        <f t="shared" si="0"/>
        <v>911.11111111111109</v>
      </c>
      <c r="H27" s="3">
        <f t="shared" si="1"/>
        <v>1000</v>
      </c>
      <c r="I27" s="3">
        <f t="shared" si="2"/>
        <v>3240</v>
      </c>
      <c r="J27" s="122"/>
      <c r="K27" s="118"/>
      <c r="L27" s="118"/>
      <c r="M27" s="118"/>
      <c r="N27" s="1">
        <v>3000</v>
      </c>
      <c r="O27" s="118"/>
      <c r="P27" s="118"/>
      <c r="Q27" s="118"/>
      <c r="R27" s="118"/>
      <c r="S27" s="118"/>
    </row>
    <row r="28" spans="1:19" x14ac:dyDescent="0.3">
      <c r="A28">
        <v>23</v>
      </c>
      <c r="B28" s="19">
        <v>46131</v>
      </c>
      <c r="C28" s="2" t="s">
        <v>16</v>
      </c>
      <c r="D28" s="122"/>
      <c r="E28" s="2">
        <v>475</v>
      </c>
      <c r="F28" s="118"/>
      <c r="G28" s="3">
        <f t="shared" si="0"/>
        <v>911.11111111111109</v>
      </c>
      <c r="H28" s="3">
        <f t="shared" si="1"/>
        <v>1000</v>
      </c>
      <c r="I28" s="3">
        <f t="shared" si="2"/>
        <v>3240</v>
      </c>
      <c r="J28" s="122"/>
      <c r="K28" s="118"/>
      <c r="L28" s="118"/>
      <c r="M28" s="118"/>
      <c r="N28" s="1">
        <v>3000</v>
      </c>
      <c r="O28" s="118"/>
      <c r="P28" s="118"/>
      <c r="Q28" s="118"/>
      <c r="R28" s="118"/>
      <c r="S28" s="118"/>
    </row>
    <row r="29" spans="1:19" x14ac:dyDescent="0.3">
      <c r="A29">
        <v>24</v>
      </c>
      <c r="B29" s="19">
        <v>46131</v>
      </c>
      <c r="C29" s="2" t="s">
        <v>16</v>
      </c>
      <c r="D29" s="122"/>
      <c r="E29" s="2">
        <v>475</v>
      </c>
      <c r="F29" s="118"/>
      <c r="G29" s="3">
        <f t="shared" si="0"/>
        <v>911.11111111111109</v>
      </c>
      <c r="H29" s="3">
        <f t="shared" si="1"/>
        <v>1000</v>
      </c>
      <c r="I29" s="3">
        <f t="shared" si="2"/>
        <v>3240</v>
      </c>
      <c r="J29" s="122"/>
      <c r="K29" s="118"/>
      <c r="L29" s="118"/>
      <c r="M29" s="118"/>
      <c r="N29" s="1">
        <v>3000</v>
      </c>
      <c r="O29" s="118"/>
      <c r="P29" s="118"/>
      <c r="Q29" s="118"/>
      <c r="R29" s="118"/>
      <c r="S29" s="118"/>
    </row>
    <row r="30" spans="1:19" x14ac:dyDescent="0.3">
      <c r="A30">
        <v>25</v>
      </c>
      <c r="B30" s="19">
        <v>46131</v>
      </c>
      <c r="C30" s="2" t="s">
        <v>16</v>
      </c>
      <c r="D30" s="122"/>
      <c r="E30" s="2">
        <v>475</v>
      </c>
      <c r="F30" s="118"/>
      <c r="G30" s="3">
        <f t="shared" si="0"/>
        <v>911.11111111111109</v>
      </c>
      <c r="H30" s="3">
        <f t="shared" si="1"/>
        <v>1000</v>
      </c>
      <c r="I30" s="3">
        <f t="shared" si="2"/>
        <v>3240</v>
      </c>
      <c r="J30" s="122"/>
      <c r="K30" s="118"/>
      <c r="L30" s="118"/>
      <c r="M30" s="118"/>
      <c r="N30" s="1">
        <v>3000</v>
      </c>
      <c r="O30" s="118"/>
      <c r="P30" s="118"/>
      <c r="Q30" s="118"/>
      <c r="R30" s="118"/>
      <c r="S30" s="118"/>
    </row>
    <row r="31" spans="1:19" x14ac:dyDescent="0.3">
      <c r="A31">
        <v>26</v>
      </c>
      <c r="B31" s="19">
        <v>46131</v>
      </c>
      <c r="C31" s="2" t="s">
        <v>16</v>
      </c>
      <c r="D31" s="122"/>
      <c r="E31" s="2">
        <v>475</v>
      </c>
      <c r="F31" s="118"/>
      <c r="G31" s="3">
        <f t="shared" si="0"/>
        <v>911.11111111111109</v>
      </c>
      <c r="H31" s="3">
        <f t="shared" si="1"/>
        <v>1000</v>
      </c>
      <c r="I31" s="3">
        <f t="shared" si="2"/>
        <v>3240</v>
      </c>
      <c r="J31" s="122"/>
      <c r="K31" s="118"/>
      <c r="L31" s="118"/>
      <c r="M31" s="118"/>
      <c r="N31" s="1">
        <v>3000</v>
      </c>
      <c r="O31" s="118"/>
      <c r="P31" s="118"/>
      <c r="Q31" s="118"/>
      <c r="R31" s="118"/>
      <c r="S31" s="118"/>
    </row>
    <row r="32" spans="1:19" x14ac:dyDescent="0.3">
      <c r="A32">
        <v>27</v>
      </c>
      <c r="B32" s="19">
        <v>46131</v>
      </c>
      <c r="C32" s="2" t="s">
        <v>17</v>
      </c>
      <c r="D32" s="2">
        <v>88</v>
      </c>
      <c r="E32" s="2">
        <v>475</v>
      </c>
      <c r="F32" s="3">
        <f>+D32*E32</f>
        <v>41800</v>
      </c>
      <c r="G32" s="3">
        <f t="shared" si="0"/>
        <v>911.11111111111109</v>
      </c>
      <c r="H32" s="3">
        <f t="shared" si="1"/>
        <v>1000</v>
      </c>
      <c r="I32" s="3">
        <f t="shared" si="2"/>
        <v>3240</v>
      </c>
      <c r="J32" s="3">
        <f>+SUM(F32:I32)</f>
        <v>46951.111111111109</v>
      </c>
      <c r="K32" s="3">
        <f>+J32/D32</f>
        <v>533.53535353535347</v>
      </c>
      <c r="L32" s="15">
        <v>625</v>
      </c>
      <c r="M32" s="1">
        <f>+L32*D32</f>
        <v>55000</v>
      </c>
      <c r="N32" s="1">
        <v>3500</v>
      </c>
      <c r="O32" s="1">
        <f>+M32+N32</f>
        <v>58500</v>
      </c>
      <c r="P32" s="15">
        <f>+O32-J32</f>
        <v>11548.888888888891</v>
      </c>
      <c r="Q32" s="15">
        <f>+O32/D32</f>
        <v>664.77272727272725</v>
      </c>
      <c r="R32" s="15">
        <f>+Q32-K32</f>
        <v>131.23737373737379</v>
      </c>
      <c r="S32" s="15">
        <f>+R32*D32</f>
        <v>11548.888888888894</v>
      </c>
    </row>
    <row r="33" spans="1:19" x14ac:dyDescent="0.3">
      <c r="A33">
        <v>28</v>
      </c>
      <c r="B33" s="19">
        <v>46131</v>
      </c>
      <c r="C33" s="2" t="s">
        <v>18</v>
      </c>
      <c r="D33" s="122">
        <v>236</v>
      </c>
      <c r="E33" s="2">
        <v>475</v>
      </c>
      <c r="F33" s="118">
        <f>+D33*E33</f>
        <v>112100</v>
      </c>
      <c r="G33" s="3">
        <f t="shared" si="0"/>
        <v>911.11111111111109</v>
      </c>
      <c r="H33" s="3">
        <f t="shared" si="1"/>
        <v>1000</v>
      </c>
      <c r="I33" s="3">
        <f t="shared" si="2"/>
        <v>3240</v>
      </c>
      <c r="J33" s="118">
        <f>+F33+SUM(G33:G36)+SUM(H33:H36)+SUM(I33:I36)</f>
        <v>132704.44444444444</v>
      </c>
      <c r="K33" s="118">
        <f>+J33/D33</f>
        <v>562.30696798493409</v>
      </c>
      <c r="L33" s="118">
        <v>600</v>
      </c>
      <c r="M33" s="118">
        <f>+D33*L33</f>
        <v>141600</v>
      </c>
      <c r="N33" s="1">
        <v>3000</v>
      </c>
      <c r="O33" s="118">
        <f>+M33+SUM(N33:N36)</f>
        <v>153600</v>
      </c>
      <c r="P33" s="118">
        <f>+O33-J33</f>
        <v>20895.555555555562</v>
      </c>
      <c r="Q33" s="118">
        <f>+O33/D33</f>
        <v>650.84745762711862</v>
      </c>
      <c r="R33" s="118">
        <f>+Q33-K33</f>
        <v>88.540489642184525</v>
      </c>
      <c r="S33" s="118">
        <f>+R33*D33</f>
        <v>20895.555555555547</v>
      </c>
    </row>
    <row r="34" spans="1:19" x14ac:dyDescent="0.3">
      <c r="A34">
        <v>29</v>
      </c>
      <c r="B34" s="19">
        <v>46131</v>
      </c>
      <c r="C34" s="2" t="s">
        <v>18</v>
      </c>
      <c r="D34" s="122"/>
      <c r="E34" s="2">
        <v>475</v>
      </c>
      <c r="F34" s="118"/>
      <c r="G34" s="3">
        <f t="shared" si="0"/>
        <v>911.11111111111109</v>
      </c>
      <c r="H34" s="3">
        <f t="shared" si="1"/>
        <v>1000</v>
      </c>
      <c r="I34" s="3">
        <f t="shared" si="2"/>
        <v>3240</v>
      </c>
      <c r="J34" s="122"/>
      <c r="K34" s="118"/>
      <c r="L34" s="118"/>
      <c r="M34" s="118"/>
      <c r="N34" s="1">
        <v>3000</v>
      </c>
      <c r="O34" s="118"/>
      <c r="P34" s="118"/>
      <c r="Q34" s="118"/>
      <c r="R34" s="118"/>
      <c r="S34" s="118"/>
    </row>
    <row r="35" spans="1:19" x14ac:dyDescent="0.3">
      <c r="A35">
        <v>30</v>
      </c>
      <c r="B35" s="19">
        <v>46131</v>
      </c>
      <c r="C35" s="2" t="s">
        <v>18</v>
      </c>
      <c r="D35" s="122"/>
      <c r="E35" s="2">
        <v>475</v>
      </c>
      <c r="F35" s="118"/>
      <c r="G35" s="3">
        <f t="shared" si="0"/>
        <v>911.11111111111109</v>
      </c>
      <c r="H35" s="3">
        <f t="shared" si="1"/>
        <v>1000</v>
      </c>
      <c r="I35" s="3">
        <f t="shared" si="2"/>
        <v>3240</v>
      </c>
      <c r="J35" s="122"/>
      <c r="K35" s="118"/>
      <c r="L35" s="118"/>
      <c r="M35" s="118"/>
      <c r="N35" s="1">
        <v>3000</v>
      </c>
      <c r="O35" s="118"/>
      <c r="P35" s="118"/>
      <c r="Q35" s="118"/>
      <c r="R35" s="118"/>
      <c r="S35" s="118"/>
    </row>
    <row r="36" spans="1:19" x14ac:dyDescent="0.3">
      <c r="A36">
        <v>31</v>
      </c>
      <c r="B36" s="19">
        <v>46131</v>
      </c>
      <c r="C36" s="2" t="s">
        <v>18</v>
      </c>
      <c r="D36" s="122"/>
      <c r="E36" s="2">
        <v>475</v>
      </c>
      <c r="F36" s="118"/>
      <c r="G36" s="3">
        <f t="shared" si="0"/>
        <v>911.11111111111109</v>
      </c>
      <c r="H36" s="3">
        <f t="shared" si="1"/>
        <v>1000</v>
      </c>
      <c r="I36" s="3">
        <f t="shared" si="2"/>
        <v>3240</v>
      </c>
      <c r="J36" s="122"/>
      <c r="K36" s="118"/>
      <c r="L36" s="118"/>
      <c r="M36" s="118"/>
      <c r="N36" s="1">
        <v>3000</v>
      </c>
      <c r="O36" s="118"/>
      <c r="P36" s="118"/>
      <c r="Q36" s="118"/>
      <c r="R36" s="118"/>
      <c r="S36" s="118"/>
    </row>
    <row r="37" spans="1:19" x14ac:dyDescent="0.3">
      <c r="A37">
        <v>32</v>
      </c>
      <c r="B37" s="19">
        <v>46131</v>
      </c>
      <c r="C37" s="2" t="s">
        <v>19</v>
      </c>
      <c r="D37" s="122">
        <v>118</v>
      </c>
      <c r="E37" s="2">
        <v>475</v>
      </c>
      <c r="F37" s="118">
        <f>+D37*E37</f>
        <v>56050</v>
      </c>
      <c r="G37" s="3">
        <f t="shared" si="0"/>
        <v>911.11111111111109</v>
      </c>
      <c r="H37" s="3">
        <f t="shared" si="1"/>
        <v>1000</v>
      </c>
      <c r="I37" s="3">
        <f t="shared" si="2"/>
        <v>3240</v>
      </c>
      <c r="J37" s="118">
        <f>+F37+SUM(G37:I37)+SUM(G38:I38)</f>
        <v>66352.222222222219</v>
      </c>
      <c r="K37" s="118">
        <f>+J37/D37</f>
        <v>562.30696798493409</v>
      </c>
      <c r="L37" s="118">
        <v>610</v>
      </c>
      <c r="M37" s="118">
        <f>+D37*L37</f>
        <v>71980</v>
      </c>
      <c r="N37" s="1">
        <v>3000</v>
      </c>
      <c r="O37" s="118">
        <f>+M37+N37+N38</f>
        <v>77980</v>
      </c>
      <c r="P37" s="118">
        <f>+O37-J37</f>
        <v>11627.777777777781</v>
      </c>
      <c r="Q37" s="118">
        <f>+O37/D37</f>
        <v>660.84745762711862</v>
      </c>
      <c r="R37" s="118">
        <f>+Q37-K37</f>
        <v>98.540489642184525</v>
      </c>
      <c r="S37" s="118">
        <f>+R37*D37</f>
        <v>11627.777777777774</v>
      </c>
    </row>
    <row r="38" spans="1:19" x14ac:dyDescent="0.3">
      <c r="A38">
        <v>33</v>
      </c>
      <c r="B38" s="19">
        <v>46131</v>
      </c>
      <c r="C38" s="2" t="s">
        <v>19</v>
      </c>
      <c r="D38" s="122"/>
      <c r="E38" s="2">
        <v>475</v>
      </c>
      <c r="F38" s="118"/>
      <c r="G38" s="3">
        <f t="shared" si="0"/>
        <v>911.11111111111109</v>
      </c>
      <c r="H38" s="3">
        <f t="shared" si="1"/>
        <v>1000</v>
      </c>
      <c r="I38" s="3">
        <f t="shared" si="2"/>
        <v>3240</v>
      </c>
      <c r="J38" s="122"/>
      <c r="K38" s="118"/>
      <c r="L38" s="118"/>
      <c r="M38" s="118"/>
      <c r="N38" s="1">
        <v>3000</v>
      </c>
      <c r="O38" s="118"/>
      <c r="P38" s="118"/>
      <c r="Q38" s="118"/>
      <c r="R38" s="118"/>
      <c r="S38" s="118"/>
    </row>
    <row r="39" spans="1:19" x14ac:dyDescent="0.3">
      <c r="A39">
        <v>34</v>
      </c>
      <c r="B39" s="19">
        <v>46134</v>
      </c>
      <c r="C39" s="2" t="s">
        <v>46</v>
      </c>
      <c r="D39" s="122">
        <v>226</v>
      </c>
      <c r="E39" s="2">
        <v>475</v>
      </c>
      <c r="F39" s="118">
        <f>+D39*E39</f>
        <v>107350</v>
      </c>
      <c r="G39" s="3">
        <f t="shared" si="0"/>
        <v>911.11111111111109</v>
      </c>
      <c r="H39" s="3">
        <f t="shared" si="1"/>
        <v>1000</v>
      </c>
      <c r="I39" s="3">
        <f t="shared" si="2"/>
        <v>3240</v>
      </c>
      <c r="J39" s="126">
        <f>+F39+SUM(G39:I39)+SUM(G40:I40)+SUM(G41:I41)</f>
        <v>122803.33333333333</v>
      </c>
      <c r="K39" s="118">
        <f>+J39/D39</f>
        <v>543.37758112094389</v>
      </c>
      <c r="L39" s="118">
        <v>600</v>
      </c>
      <c r="M39" s="118">
        <f>+L39*D39</f>
        <v>135600</v>
      </c>
      <c r="N39" s="1">
        <v>3000</v>
      </c>
      <c r="O39" s="118">
        <f>+M39+SUM(N39:N41)</f>
        <v>144600</v>
      </c>
      <c r="P39" s="118">
        <f>+O39-J39</f>
        <v>21796.666666666672</v>
      </c>
      <c r="Q39" s="118">
        <f>+O39/D39</f>
        <v>639.82300884955748</v>
      </c>
      <c r="R39" s="118">
        <f>+Q39-K39</f>
        <v>96.445427728613595</v>
      </c>
      <c r="S39" s="118">
        <f>+R39*D39</f>
        <v>21796.666666666672</v>
      </c>
    </row>
    <row r="40" spans="1:19" x14ac:dyDescent="0.3">
      <c r="A40">
        <v>35</v>
      </c>
      <c r="B40" s="19">
        <v>46134</v>
      </c>
      <c r="C40" s="2" t="s">
        <v>46</v>
      </c>
      <c r="D40" s="122"/>
      <c r="E40" s="2">
        <v>475</v>
      </c>
      <c r="F40" s="118"/>
      <c r="G40" s="3">
        <f t="shared" si="0"/>
        <v>911.11111111111109</v>
      </c>
      <c r="H40" s="3">
        <f t="shared" si="1"/>
        <v>1000</v>
      </c>
      <c r="I40" s="3">
        <f t="shared" si="2"/>
        <v>3240</v>
      </c>
      <c r="J40" s="122"/>
      <c r="K40" s="118"/>
      <c r="L40" s="118"/>
      <c r="M40" s="118"/>
      <c r="N40" s="1">
        <v>3000</v>
      </c>
      <c r="O40" s="118"/>
      <c r="P40" s="118"/>
      <c r="Q40" s="118"/>
      <c r="R40" s="118"/>
      <c r="S40" s="118"/>
    </row>
    <row r="41" spans="1:19" x14ac:dyDescent="0.3">
      <c r="A41">
        <v>36</v>
      </c>
      <c r="B41" s="19">
        <v>46134</v>
      </c>
      <c r="C41" s="2" t="s">
        <v>46</v>
      </c>
      <c r="D41" s="122"/>
      <c r="E41" s="2">
        <v>475</v>
      </c>
      <c r="F41" s="118"/>
      <c r="G41" s="3">
        <f t="shared" si="0"/>
        <v>911.11111111111109</v>
      </c>
      <c r="H41" s="3">
        <f t="shared" si="1"/>
        <v>1000</v>
      </c>
      <c r="I41" s="3">
        <f t="shared" si="2"/>
        <v>3240</v>
      </c>
      <c r="J41" s="122"/>
      <c r="K41" s="118"/>
      <c r="L41" s="118"/>
      <c r="M41" s="118"/>
      <c r="N41" s="1">
        <v>3000</v>
      </c>
      <c r="O41" s="118"/>
      <c r="P41" s="118"/>
      <c r="Q41" s="118"/>
      <c r="R41" s="118"/>
      <c r="S41" s="118"/>
    </row>
    <row r="42" spans="1:19" x14ac:dyDescent="0.3">
      <c r="A42">
        <v>37</v>
      </c>
      <c r="B42" s="19">
        <v>46137</v>
      </c>
      <c r="C42" s="2" t="s">
        <v>47</v>
      </c>
      <c r="D42" s="122">
        <v>377</v>
      </c>
      <c r="E42" s="2">
        <v>475</v>
      </c>
      <c r="F42" s="118">
        <f>+D42*E42</f>
        <v>179075</v>
      </c>
      <c r="G42" s="3">
        <f t="shared" si="0"/>
        <v>911.11111111111109</v>
      </c>
      <c r="H42" s="3">
        <f t="shared" si="1"/>
        <v>1000</v>
      </c>
      <c r="I42" s="3">
        <f t="shared" si="2"/>
        <v>3240</v>
      </c>
      <c r="J42" s="126">
        <f>+F42+SUM(G42:G46)+SUM(H42:H46)+SUM(I42:I46)</f>
        <v>204830.55555555556</v>
      </c>
      <c r="K42" s="118">
        <f>+J42/D42</f>
        <v>543.31712348953727</v>
      </c>
      <c r="L42" s="118">
        <v>588.85941000000003</v>
      </c>
      <c r="M42" s="118">
        <f>+L42*D42</f>
        <v>221999.99757000001</v>
      </c>
      <c r="N42" s="1">
        <v>2400</v>
      </c>
      <c r="O42" s="118">
        <f>+M42+SUM(N42:N46)</f>
        <v>233999.99757000001</v>
      </c>
      <c r="P42" s="118">
        <f>+O42-J42</f>
        <v>29169.442014444445</v>
      </c>
      <c r="Q42" s="118">
        <f>+O42/D42</f>
        <v>620.68964872679044</v>
      </c>
      <c r="R42" s="118">
        <f>+Q42-K42</f>
        <v>77.372525237253171</v>
      </c>
      <c r="S42" s="118">
        <f>+R42*D42</f>
        <v>29169.442014444445</v>
      </c>
    </row>
    <row r="43" spans="1:19" x14ac:dyDescent="0.3">
      <c r="A43">
        <v>38</v>
      </c>
      <c r="B43" s="19">
        <v>46137</v>
      </c>
      <c r="C43" s="2" t="s">
        <v>47</v>
      </c>
      <c r="D43" s="122"/>
      <c r="E43" s="2">
        <v>475</v>
      </c>
      <c r="F43" s="118"/>
      <c r="G43" s="3">
        <f t="shared" si="0"/>
        <v>911.11111111111109</v>
      </c>
      <c r="H43" s="3">
        <f t="shared" si="1"/>
        <v>1000</v>
      </c>
      <c r="I43" s="3">
        <f t="shared" si="2"/>
        <v>3240</v>
      </c>
      <c r="J43" s="122"/>
      <c r="K43" s="118"/>
      <c r="L43" s="118"/>
      <c r="M43" s="118"/>
      <c r="N43" s="1">
        <v>2400</v>
      </c>
      <c r="O43" s="118"/>
      <c r="P43" s="118"/>
      <c r="Q43" s="118"/>
      <c r="R43" s="118"/>
      <c r="S43" s="118"/>
    </row>
    <row r="44" spans="1:19" x14ac:dyDescent="0.3">
      <c r="A44">
        <v>39</v>
      </c>
      <c r="B44" s="19">
        <v>46137</v>
      </c>
      <c r="C44" s="2" t="s">
        <v>47</v>
      </c>
      <c r="D44" s="122"/>
      <c r="E44" s="2">
        <v>475</v>
      </c>
      <c r="F44" s="118"/>
      <c r="G44" s="3">
        <f t="shared" si="0"/>
        <v>911.11111111111109</v>
      </c>
      <c r="H44" s="3">
        <f t="shared" si="1"/>
        <v>1000</v>
      </c>
      <c r="I44" s="3">
        <f t="shared" si="2"/>
        <v>3240</v>
      </c>
      <c r="J44" s="122"/>
      <c r="K44" s="118"/>
      <c r="L44" s="118"/>
      <c r="M44" s="118"/>
      <c r="N44" s="1">
        <v>2400</v>
      </c>
      <c r="O44" s="118"/>
      <c r="P44" s="118"/>
      <c r="Q44" s="118"/>
      <c r="R44" s="118"/>
      <c r="S44" s="118"/>
    </row>
    <row r="45" spans="1:19" x14ac:dyDescent="0.3">
      <c r="A45">
        <v>40</v>
      </c>
      <c r="B45" s="19">
        <v>46137</v>
      </c>
      <c r="C45" s="2" t="s">
        <v>47</v>
      </c>
      <c r="D45" s="122"/>
      <c r="E45" s="2">
        <v>475</v>
      </c>
      <c r="F45" s="118"/>
      <c r="G45" s="3">
        <f t="shared" si="0"/>
        <v>911.11111111111109</v>
      </c>
      <c r="H45" s="3">
        <f t="shared" si="1"/>
        <v>1000</v>
      </c>
      <c r="I45" s="3">
        <f t="shared" si="2"/>
        <v>3240</v>
      </c>
      <c r="J45" s="122"/>
      <c r="K45" s="118"/>
      <c r="L45" s="118"/>
      <c r="M45" s="118"/>
      <c r="N45" s="1">
        <v>2400</v>
      </c>
      <c r="O45" s="118"/>
      <c r="P45" s="118"/>
      <c r="Q45" s="118"/>
      <c r="R45" s="118"/>
      <c r="S45" s="118"/>
    </row>
    <row r="46" spans="1:19" x14ac:dyDescent="0.3">
      <c r="A46">
        <v>41</v>
      </c>
      <c r="B46" s="19">
        <v>46137</v>
      </c>
      <c r="C46" s="2" t="s">
        <v>47</v>
      </c>
      <c r="D46" s="122"/>
      <c r="E46" s="2">
        <v>475</v>
      </c>
      <c r="F46" s="118"/>
      <c r="G46" s="3">
        <f t="shared" si="0"/>
        <v>911.11111111111109</v>
      </c>
      <c r="H46" s="3">
        <f t="shared" si="1"/>
        <v>1000</v>
      </c>
      <c r="I46" s="3">
        <f t="shared" si="2"/>
        <v>3240</v>
      </c>
      <c r="J46" s="122"/>
      <c r="K46" s="118"/>
      <c r="L46" s="118"/>
      <c r="M46" s="118"/>
      <c r="N46" s="1">
        <v>2400</v>
      </c>
      <c r="O46" s="118"/>
      <c r="P46" s="118"/>
      <c r="Q46" s="118"/>
      <c r="R46" s="118"/>
      <c r="S46" s="118"/>
    </row>
    <row r="47" spans="1:19" x14ac:dyDescent="0.3">
      <c r="A47">
        <v>42</v>
      </c>
      <c r="B47" s="19">
        <v>46138</v>
      </c>
      <c r="C47" s="2" t="s">
        <v>48</v>
      </c>
      <c r="D47" s="14">
        <v>79</v>
      </c>
      <c r="E47" s="2">
        <v>475</v>
      </c>
      <c r="F47" s="15">
        <f>+D47*E47</f>
        <v>37525</v>
      </c>
      <c r="G47" s="3">
        <f t="shared" si="0"/>
        <v>911.11111111111109</v>
      </c>
      <c r="H47" s="3">
        <f t="shared" si="1"/>
        <v>1000</v>
      </c>
      <c r="I47" s="3">
        <f t="shared" si="2"/>
        <v>3240</v>
      </c>
      <c r="J47" s="18">
        <f>+SUM(F47:I47)</f>
        <v>42676.111111111109</v>
      </c>
      <c r="K47" s="15">
        <f>+J47/D47</f>
        <v>540.20393811533052</v>
      </c>
      <c r="L47" s="15">
        <v>594.93655899999999</v>
      </c>
      <c r="M47" s="15">
        <f>+L47*D47</f>
        <v>46999.988161000001</v>
      </c>
      <c r="N47" s="1">
        <v>2000</v>
      </c>
      <c r="O47" s="15">
        <f>+M47+N47</f>
        <v>48999.988161000001</v>
      </c>
      <c r="P47" s="15">
        <f>+O47-J47</f>
        <v>6323.8770498888916</v>
      </c>
      <c r="Q47" s="15">
        <f>+O47/D47</f>
        <v>620.25301469620251</v>
      </c>
      <c r="R47" s="15">
        <f>+Q47-K47</f>
        <v>80.049076580871997</v>
      </c>
      <c r="S47" s="15">
        <f>+R47*D47</f>
        <v>6323.877049888888</v>
      </c>
    </row>
    <row r="48" spans="1:19" x14ac:dyDescent="0.3">
      <c r="A48">
        <v>43</v>
      </c>
      <c r="B48" s="19">
        <v>46138</v>
      </c>
      <c r="C48" s="2" t="s">
        <v>49</v>
      </c>
      <c r="D48" s="122">
        <v>208</v>
      </c>
      <c r="E48" s="2">
        <v>475</v>
      </c>
      <c r="F48" s="118">
        <f>+D48*E48</f>
        <v>98800</v>
      </c>
      <c r="G48" s="3">
        <f t="shared" si="0"/>
        <v>911.11111111111109</v>
      </c>
      <c r="H48" s="3">
        <f t="shared" si="1"/>
        <v>1000</v>
      </c>
      <c r="I48" s="3">
        <f t="shared" si="2"/>
        <v>3240</v>
      </c>
      <c r="J48" s="126">
        <f>+F48+SUM(G48:I48)+SUM(G49:I49)+SUM(G50:I50)</f>
        <v>114253.33333333333</v>
      </c>
      <c r="K48" s="118">
        <f>+J48/D48</f>
        <v>549.29487179487182</v>
      </c>
      <c r="L48" s="118">
        <v>580</v>
      </c>
      <c r="M48" s="118">
        <f>+L48*D48</f>
        <v>120640</v>
      </c>
      <c r="N48" s="1">
        <v>2700</v>
      </c>
      <c r="O48" s="118">
        <f>+M48+SUM(N48:N50)</f>
        <v>128740</v>
      </c>
      <c r="P48" s="118">
        <f>+O48-J48</f>
        <v>14486.666666666672</v>
      </c>
      <c r="Q48" s="118">
        <f>+O48/D48</f>
        <v>618.94230769230774</v>
      </c>
      <c r="R48" s="118">
        <f>+Q48-K48</f>
        <v>69.647435897435912</v>
      </c>
      <c r="S48" s="118">
        <f>+R48*D48</f>
        <v>14486.66666666667</v>
      </c>
    </row>
    <row r="49" spans="1:21" x14ac:dyDescent="0.3">
      <c r="A49">
        <v>44</v>
      </c>
      <c r="B49" s="19">
        <v>46138</v>
      </c>
      <c r="C49" s="2" t="s">
        <v>49</v>
      </c>
      <c r="D49" s="122"/>
      <c r="E49" s="2">
        <v>475</v>
      </c>
      <c r="F49" s="118"/>
      <c r="G49" s="3">
        <f t="shared" si="0"/>
        <v>911.11111111111109</v>
      </c>
      <c r="H49" s="3">
        <f t="shared" si="1"/>
        <v>1000</v>
      </c>
      <c r="I49" s="3">
        <f t="shared" si="2"/>
        <v>3240</v>
      </c>
      <c r="J49" s="126"/>
      <c r="K49" s="118"/>
      <c r="L49" s="118"/>
      <c r="M49" s="118"/>
      <c r="N49" s="1">
        <v>2700</v>
      </c>
      <c r="O49" s="118"/>
      <c r="P49" s="118"/>
      <c r="Q49" s="118"/>
      <c r="R49" s="118"/>
      <c r="S49" s="118"/>
    </row>
    <row r="50" spans="1:21" x14ac:dyDescent="0.3">
      <c r="A50">
        <v>45</v>
      </c>
      <c r="B50" s="19">
        <v>46138</v>
      </c>
      <c r="C50" s="2" t="s">
        <v>49</v>
      </c>
      <c r="D50" s="122"/>
      <c r="E50" s="2">
        <v>475</v>
      </c>
      <c r="F50" s="118"/>
      <c r="G50" s="3">
        <f t="shared" si="0"/>
        <v>911.11111111111109</v>
      </c>
      <c r="H50" s="3">
        <f t="shared" si="1"/>
        <v>1000</v>
      </c>
      <c r="I50" s="3">
        <f t="shared" si="2"/>
        <v>3240</v>
      </c>
      <c r="J50" s="126"/>
      <c r="K50" s="118"/>
      <c r="L50" s="118"/>
      <c r="M50" s="118"/>
      <c r="N50" s="1">
        <v>2700</v>
      </c>
      <c r="O50" s="118"/>
      <c r="P50" s="118"/>
      <c r="Q50" s="118"/>
      <c r="R50" s="118"/>
      <c r="S50" s="118"/>
    </row>
    <row r="51" spans="1:21" x14ac:dyDescent="0.3">
      <c r="A51">
        <v>46</v>
      </c>
      <c r="B51" s="19">
        <v>46138</v>
      </c>
      <c r="C51" s="2" t="s">
        <v>50</v>
      </c>
      <c r="D51" s="122">
        <v>276</v>
      </c>
      <c r="E51" s="2">
        <v>475</v>
      </c>
      <c r="F51" s="118">
        <f>+D51*E51</f>
        <v>131100</v>
      </c>
      <c r="G51" s="3">
        <f t="shared" si="0"/>
        <v>911.11111111111109</v>
      </c>
      <c r="H51" s="3">
        <f t="shared" si="1"/>
        <v>1000</v>
      </c>
      <c r="I51" s="3">
        <f t="shared" si="2"/>
        <v>3240</v>
      </c>
      <c r="J51" s="126">
        <f>+F51+SUM(G51:I54)</f>
        <v>151704.44444444444</v>
      </c>
      <c r="K51" s="118">
        <f>+J51/D51</f>
        <v>549.65378421900164</v>
      </c>
      <c r="L51" s="118">
        <v>590</v>
      </c>
      <c r="M51" s="118">
        <f>+L51*D51</f>
        <v>162840</v>
      </c>
      <c r="N51" s="1">
        <v>2875</v>
      </c>
      <c r="O51" s="118">
        <f>+M51+SUM(N51:N54)</f>
        <v>174340</v>
      </c>
      <c r="P51" s="118">
        <f>+O51-J51</f>
        <v>22635.555555555562</v>
      </c>
      <c r="Q51" s="118">
        <f>+O51/D51</f>
        <v>631.66666666666663</v>
      </c>
      <c r="R51" s="118">
        <f>+Q51-K51</f>
        <v>82.012882447664992</v>
      </c>
      <c r="S51" s="118">
        <f>+R51*D51</f>
        <v>22635.555555555537</v>
      </c>
    </row>
    <row r="52" spans="1:21" x14ac:dyDescent="0.3">
      <c r="A52">
        <v>47</v>
      </c>
      <c r="B52" s="19">
        <v>46138</v>
      </c>
      <c r="C52" s="2" t="s">
        <v>50</v>
      </c>
      <c r="D52" s="122"/>
      <c r="E52" s="2">
        <v>475</v>
      </c>
      <c r="F52" s="118"/>
      <c r="G52" s="3">
        <f t="shared" si="0"/>
        <v>911.11111111111109</v>
      </c>
      <c r="H52" s="3">
        <f t="shared" si="1"/>
        <v>1000</v>
      </c>
      <c r="I52" s="3">
        <f t="shared" si="2"/>
        <v>3240</v>
      </c>
      <c r="J52" s="122"/>
      <c r="K52" s="118"/>
      <c r="L52" s="118"/>
      <c r="M52" s="118"/>
      <c r="N52" s="1">
        <v>2875</v>
      </c>
      <c r="O52" s="118"/>
      <c r="P52" s="118"/>
      <c r="Q52" s="118"/>
      <c r="R52" s="118"/>
      <c r="S52" s="118"/>
    </row>
    <row r="53" spans="1:21" x14ac:dyDescent="0.3">
      <c r="A53">
        <v>48</v>
      </c>
      <c r="B53" s="19">
        <v>46138</v>
      </c>
      <c r="C53" s="2" t="s">
        <v>50</v>
      </c>
      <c r="D53" s="122"/>
      <c r="E53" s="2">
        <v>475</v>
      </c>
      <c r="F53" s="118"/>
      <c r="G53" s="3">
        <f t="shared" si="0"/>
        <v>911.11111111111109</v>
      </c>
      <c r="H53" s="3">
        <f t="shared" si="1"/>
        <v>1000</v>
      </c>
      <c r="I53" s="3">
        <f t="shared" si="2"/>
        <v>3240</v>
      </c>
      <c r="J53" s="122"/>
      <c r="K53" s="118"/>
      <c r="L53" s="118"/>
      <c r="M53" s="118"/>
      <c r="N53" s="1">
        <v>2875</v>
      </c>
      <c r="O53" s="118"/>
      <c r="P53" s="118"/>
      <c r="Q53" s="118"/>
      <c r="R53" s="118"/>
      <c r="S53" s="118"/>
    </row>
    <row r="54" spans="1:21" x14ac:dyDescent="0.3">
      <c r="A54">
        <v>49</v>
      </c>
      <c r="B54" s="19">
        <v>46138</v>
      </c>
      <c r="C54" s="2" t="s">
        <v>50</v>
      </c>
      <c r="D54" s="122"/>
      <c r="E54" s="2">
        <v>475</v>
      </c>
      <c r="F54" s="118"/>
      <c r="G54" s="3">
        <f t="shared" si="0"/>
        <v>911.11111111111109</v>
      </c>
      <c r="H54" s="3">
        <f t="shared" si="1"/>
        <v>1000</v>
      </c>
      <c r="I54" s="3">
        <f t="shared" si="2"/>
        <v>3240</v>
      </c>
      <c r="J54" s="122"/>
      <c r="K54" s="118"/>
      <c r="L54" s="118"/>
      <c r="M54" s="118"/>
      <c r="N54" s="1">
        <v>2875</v>
      </c>
      <c r="O54" s="118"/>
      <c r="P54" s="118"/>
      <c r="Q54" s="118"/>
      <c r="R54" s="118"/>
      <c r="S54" s="118"/>
    </row>
    <row r="55" spans="1:21" x14ac:dyDescent="0.3">
      <c r="A55">
        <v>50</v>
      </c>
      <c r="B55" s="19">
        <v>46138</v>
      </c>
      <c r="C55" s="2" t="s">
        <v>51</v>
      </c>
      <c r="D55" s="122">
        <v>131.5</v>
      </c>
      <c r="E55" s="2">
        <v>475</v>
      </c>
      <c r="F55" s="118">
        <f>+D55*E55</f>
        <v>62462.5</v>
      </c>
      <c r="G55" s="3">
        <f t="shared" si="0"/>
        <v>911.11111111111109</v>
      </c>
      <c r="H55" s="3">
        <f t="shared" si="1"/>
        <v>1000</v>
      </c>
      <c r="I55" s="3">
        <f t="shared" si="2"/>
        <v>3240</v>
      </c>
      <c r="J55" s="126">
        <f>+F55+SUM(G55:I56)</f>
        <v>72764.722222222219</v>
      </c>
      <c r="K55" s="118">
        <f>+J55/D55</f>
        <v>553.34389522602453</v>
      </c>
      <c r="L55" s="118">
        <v>580</v>
      </c>
      <c r="M55" s="118">
        <f>+L55*D55</f>
        <v>76270</v>
      </c>
      <c r="N55" s="1">
        <v>2875</v>
      </c>
      <c r="O55" s="118">
        <f>+M55+SUM(N55:N56)</f>
        <v>82020</v>
      </c>
      <c r="P55" s="118">
        <f>+O55-J55</f>
        <v>9255.277777777781</v>
      </c>
      <c r="Q55" s="118">
        <f>+O55/D55</f>
        <v>623.72623574144484</v>
      </c>
      <c r="R55" s="118">
        <f>+Q55-K55</f>
        <v>70.38234051542031</v>
      </c>
      <c r="S55" s="118">
        <f>+R55*D55</f>
        <v>9255.2777777777701</v>
      </c>
    </row>
    <row r="56" spans="1:21" x14ac:dyDescent="0.3">
      <c r="A56">
        <v>51</v>
      </c>
      <c r="B56" s="19">
        <v>46138</v>
      </c>
      <c r="C56" s="2" t="s">
        <v>51</v>
      </c>
      <c r="D56" s="122"/>
      <c r="E56" s="2">
        <v>475</v>
      </c>
      <c r="F56" s="118"/>
      <c r="G56" s="3">
        <f t="shared" si="0"/>
        <v>911.11111111111109</v>
      </c>
      <c r="H56" s="3">
        <f t="shared" si="1"/>
        <v>1000</v>
      </c>
      <c r="I56" s="3">
        <f t="shared" si="2"/>
        <v>3240</v>
      </c>
      <c r="J56" s="122"/>
      <c r="K56" s="118"/>
      <c r="L56" s="118"/>
      <c r="M56" s="118"/>
      <c r="N56" s="1">
        <v>2875</v>
      </c>
      <c r="O56" s="118"/>
      <c r="P56" s="118"/>
      <c r="Q56" s="118"/>
      <c r="R56" s="118"/>
      <c r="S56" s="118"/>
    </row>
    <row r="57" spans="1:21" x14ac:dyDescent="0.3">
      <c r="B57" s="19"/>
      <c r="D57" s="14"/>
      <c r="F57" s="15"/>
      <c r="J57" s="14"/>
      <c r="K57" s="15"/>
      <c r="M57" s="15"/>
      <c r="N57" s="1"/>
      <c r="O57" s="15"/>
    </row>
    <row r="58" spans="1:21" x14ac:dyDescent="0.3">
      <c r="B58" s="19"/>
      <c r="D58" s="14"/>
      <c r="F58" s="15"/>
      <c r="J58" s="14"/>
      <c r="K58" s="15"/>
      <c r="M58" s="15"/>
      <c r="N58" s="1"/>
      <c r="O58" s="15"/>
    </row>
    <row r="59" spans="1:21" ht="15" thickBot="1" x14ac:dyDescent="0.35">
      <c r="B59" s="13"/>
    </row>
    <row r="60" spans="1:21" s="1" customFormat="1" ht="15.6" thickTop="1" thickBot="1" x14ac:dyDescent="0.35">
      <c r="C60" s="3" t="s">
        <v>41</v>
      </c>
      <c r="D60" s="3">
        <f>+SUM(D6:D59)</f>
        <v>3468.5</v>
      </c>
      <c r="E60" s="3">
        <v>475</v>
      </c>
      <c r="F60" s="3">
        <f>+SUM(F6:F59)</f>
        <v>1647537.5</v>
      </c>
      <c r="G60" s="3">
        <f>+SUM(G6:G59)</f>
        <v>46466.666666666613</v>
      </c>
      <c r="H60" s="3">
        <f>+SUM(H6:H59)</f>
        <v>51000</v>
      </c>
      <c r="I60" s="3">
        <f>+SUM(I6:I59)</f>
        <v>165240</v>
      </c>
      <c r="J60" s="31">
        <f>+SUM(J6:J59)</f>
        <v>1910244.1666666665</v>
      </c>
      <c r="K60" s="3"/>
      <c r="L60" s="3"/>
      <c r="M60" s="3">
        <f>+SUM(M6:M59)</f>
        <v>2073530.0767310001</v>
      </c>
      <c r="N60" s="3">
        <f>+SUM(N6:N59)</f>
        <v>153850</v>
      </c>
      <c r="O60" s="31">
        <f>+SUM(O6:O59)</f>
        <v>2227380.0767310001</v>
      </c>
      <c r="P60" s="32">
        <f>+SUM(P6:P59)</f>
        <v>317135.91006433335</v>
      </c>
      <c r="Q60" s="3"/>
      <c r="R60" s="3"/>
      <c r="S60" s="3">
        <f>+SUM(S6:S59)</f>
        <v>317135.91006433341</v>
      </c>
    </row>
    <row r="61" spans="1:21" ht="15.6" thickTop="1" thickBot="1" x14ac:dyDescent="0.35">
      <c r="D61" s="3"/>
      <c r="E61" s="3"/>
      <c r="M61" s="3"/>
      <c r="N61" s="3"/>
      <c r="O61" s="3"/>
      <c r="U61" t="s">
        <v>39</v>
      </c>
    </row>
    <row r="62" spans="1:21" ht="15.6" thickTop="1" thickBot="1" x14ac:dyDescent="0.35">
      <c r="C62" s="2" t="s">
        <v>37</v>
      </c>
      <c r="D62" s="17">
        <f>+'Lot 1 weight list'!K27-option1!D60</f>
        <v>2744.5</v>
      </c>
      <c r="E62" s="17">
        <v>475</v>
      </c>
      <c r="F62" s="3">
        <f>+D62*E62</f>
        <v>1303637.5</v>
      </c>
      <c r="G62" s="3">
        <f>+B1-G60</f>
        <v>51933.333333333358</v>
      </c>
      <c r="H62" s="3">
        <f>+D1-H60</f>
        <v>57000</v>
      </c>
      <c r="I62" s="3">
        <f>+H3-I60</f>
        <v>126360</v>
      </c>
      <c r="J62" s="31">
        <f>+SUM(F62:I62)</f>
        <v>1538930.8333333333</v>
      </c>
      <c r="L62" s="15">
        <v>575</v>
      </c>
      <c r="M62" s="1">
        <f>+L62*D62</f>
        <v>1578087.5</v>
      </c>
      <c r="N62" s="3">
        <v>0</v>
      </c>
      <c r="O62" s="35">
        <f>+M62+N62</f>
        <v>1578087.5</v>
      </c>
      <c r="P62" s="36">
        <f>+O62-J62</f>
        <v>39156.666666666744</v>
      </c>
      <c r="S62" s="15">
        <f>+U62-S60</f>
        <v>282864.08993566659</v>
      </c>
      <c r="U62" s="1">
        <v>600000</v>
      </c>
    </row>
    <row r="63" spans="1:21" ht="15" thickTop="1" x14ac:dyDescent="0.3"/>
    <row r="64" spans="1:21" ht="16.2" x14ac:dyDescent="0.45">
      <c r="F64" s="25">
        <f>+SUM(F60:F62)</f>
        <v>2951175</v>
      </c>
      <c r="G64" s="25">
        <f>+SUM(G60:G62)</f>
        <v>82000</v>
      </c>
      <c r="H64" s="25">
        <f>+SUM(H60:H62)</f>
        <v>90000</v>
      </c>
      <c r="I64" s="25">
        <f>+SUM(I60:I62)</f>
        <v>291600</v>
      </c>
      <c r="J64" s="25">
        <f>+SUM(J60:J62)</f>
        <v>3449175</v>
      </c>
      <c r="M64" s="25">
        <f>+SUM(M60:M62)</f>
        <v>3651617.5767310001</v>
      </c>
      <c r="N64" s="25">
        <f>+SUM(N60:N62)</f>
        <v>222725</v>
      </c>
      <c r="O64" s="25">
        <f>+SUM(O60:O62)</f>
        <v>3805467.5767310001</v>
      </c>
      <c r="P64" s="25">
        <f>+SUM(P60:P62)</f>
        <v>356292.5767310001</v>
      </c>
    </row>
    <row r="65" spans="5:15" x14ac:dyDescent="0.3">
      <c r="I65" s="3" t="s">
        <v>27</v>
      </c>
      <c r="J65" s="3">
        <v>90</v>
      </c>
      <c r="N65" t="s">
        <v>27</v>
      </c>
      <c r="O65" s="1">
        <v>90</v>
      </c>
    </row>
    <row r="66" spans="5:15" ht="16.2" x14ac:dyDescent="0.45">
      <c r="E66" s="17"/>
      <c r="I66" s="3" t="s">
        <v>40</v>
      </c>
      <c r="J66" s="25">
        <f>+J64/J65</f>
        <v>38324.166666666664</v>
      </c>
      <c r="N66" s="3" t="s">
        <v>40</v>
      </c>
      <c r="O66" s="25">
        <f>+O64/O65</f>
        <v>42282.97307478889</v>
      </c>
    </row>
    <row r="67" spans="5:15" x14ac:dyDescent="0.3">
      <c r="E67" s="2">
        <f>39*15*120</f>
        <v>70200</v>
      </c>
    </row>
    <row r="68" spans="5:15" x14ac:dyDescent="0.3">
      <c r="M68" s="1" t="s">
        <v>45</v>
      </c>
    </row>
  </sheetData>
  <mergeCells count="175">
    <mergeCell ref="D16:D17"/>
    <mergeCell ref="L16:L17"/>
    <mergeCell ref="M16:M17"/>
    <mergeCell ref="O16:O17"/>
    <mergeCell ref="D7:D8"/>
    <mergeCell ref="L7:L8"/>
    <mergeCell ref="M7:M8"/>
    <mergeCell ref="O7:O8"/>
    <mergeCell ref="D9:D10"/>
    <mergeCell ref="L9:L10"/>
    <mergeCell ref="M9:M10"/>
    <mergeCell ref="O9:O10"/>
    <mergeCell ref="F7:F8"/>
    <mergeCell ref="J7:J8"/>
    <mergeCell ref="D37:D38"/>
    <mergeCell ref="L37:L38"/>
    <mergeCell ref="M37:M38"/>
    <mergeCell ref="O37:O38"/>
    <mergeCell ref="D24:D25"/>
    <mergeCell ref="L24:L25"/>
    <mergeCell ref="M24:M25"/>
    <mergeCell ref="O24:O25"/>
    <mergeCell ref="D26:D31"/>
    <mergeCell ref="L26:L31"/>
    <mergeCell ref="M26:M31"/>
    <mergeCell ref="O26:O31"/>
    <mergeCell ref="F26:F31"/>
    <mergeCell ref="J26:J31"/>
    <mergeCell ref="P7:P8"/>
    <mergeCell ref="K7:K8"/>
    <mergeCell ref="Q7:Q8"/>
    <mergeCell ref="R7:R8"/>
    <mergeCell ref="S7:S8"/>
    <mergeCell ref="J9:J10"/>
    <mergeCell ref="S9:S10"/>
    <mergeCell ref="D33:D36"/>
    <mergeCell ref="L33:L36"/>
    <mergeCell ref="M33:M36"/>
    <mergeCell ref="O33:O36"/>
    <mergeCell ref="D18:D19"/>
    <mergeCell ref="L18:L19"/>
    <mergeCell ref="M18:M19"/>
    <mergeCell ref="O18:O19"/>
    <mergeCell ref="D22:D23"/>
    <mergeCell ref="L22:L23"/>
    <mergeCell ref="M22:M23"/>
    <mergeCell ref="O22:O23"/>
    <mergeCell ref="F18:F19"/>
    <mergeCell ref="J18:J19"/>
    <mergeCell ref="D11:D15"/>
    <mergeCell ref="L11:L15"/>
    <mergeCell ref="M11:M15"/>
    <mergeCell ref="F9:F10"/>
    <mergeCell ref="F11:F15"/>
    <mergeCell ref="K9:K10"/>
    <mergeCell ref="P9:P10"/>
    <mergeCell ref="Q9:Q10"/>
    <mergeCell ref="R9:R10"/>
    <mergeCell ref="J11:J15"/>
    <mergeCell ref="K11:K15"/>
    <mergeCell ref="P11:P15"/>
    <mergeCell ref="Q11:Q15"/>
    <mergeCell ref="O11:O15"/>
    <mergeCell ref="R11:R15"/>
    <mergeCell ref="S11:S15"/>
    <mergeCell ref="F16:F17"/>
    <mergeCell ref="J16:J17"/>
    <mergeCell ref="K16:K17"/>
    <mergeCell ref="P16:P17"/>
    <mergeCell ref="Q16:Q17"/>
    <mergeCell ref="R16:R17"/>
    <mergeCell ref="S16:S17"/>
    <mergeCell ref="K18:K19"/>
    <mergeCell ref="P18:P19"/>
    <mergeCell ref="Q18:Q19"/>
    <mergeCell ref="R18:R19"/>
    <mergeCell ref="S18:S19"/>
    <mergeCell ref="F22:F23"/>
    <mergeCell ref="J22:J23"/>
    <mergeCell ref="K22:K23"/>
    <mergeCell ref="P22:P23"/>
    <mergeCell ref="Q22:Q23"/>
    <mergeCell ref="F33:F36"/>
    <mergeCell ref="J33:J36"/>
    <mergeCell ref="K33:K36"/>
    <mergeCell ref="P33:P36"/>
    <mergeCell ref="Q33:Q36"/>
    <mergeCell ref="R22:R23"/>
    <mergeCell ref="S22:S23"/>
    <mergeCell ref="F24:F25"/>
    <mergeCell ref="J24:J25"/>
    <mergeCell ref="K24:K25"/>
    <mergeCell ref="P24:P25"/>
    <mergeCell ref="Q24:Q25"/>
    <mergeCell ref="R24:R25"/>
    <mergeCell ref="S24:S25"/>
    <mergeCell ref="J37:J38"/>
    <mergeCell ref="K37:K38"/>
    <mergeCell ref="P37:P38"/>
    <mergeCell ref="Q37:Q38"/>
    <mergeCell ref="R37:R38"/>
    <mergeCell ref="S37:S38"/>
    <mergeCell ref="K26:K31"/>
    <mergeCell ref="P26:P31"/>
    <mergeCell ref="Q26:Q31"/>
    <mergeCell ref="R26:R31"/>
    <mergeCell ref="S26:S31"/>
    <mergeCell ref="D42:D46"/>
    <mergeCell ref="F42:F46"/>
    <mergeCell ref="J42:J46"/>
    <mergeCell ref="K42:K46"/>
    <mergeCell ref="L42:L46"/>
    <mergeCell ref="P20:P21"/>
    <mergeCell ref="Q20:Q21"/>
    <mergeCell ref="R20:R21"/>
    <mergeCell ref="S20:S21"/>
    <mergeCell ref="D39:D41"/>
    <mergeCell ref="F39:F41"/>
    <mergeCell ref="J39:J41"/>
    <mergeCell ref="K39:K41"/>
    <mergeCell ref="L39:L41"/>
    <mergeCell ref="M39:M41"/>
    <mergeCell ref="D20:D21"/>
    <mergeCell ref="F20:F21"/>
    <mergeCell ref="J20:J21"/>
    <mergeCell ref="K20:K21"/>
    <mergeCell ref="L20:L21"/>
    <mergeCell ref="O20:O21"/>
    <mergeCell ref="R33:R36"/>
    <mergeCell ref="S33:S36"/>
    <mergeCell ref="F37:F38"/>
    <mergeCell ref="M42:M46"/>
    <mergeCell ref="O42:O46"/>
    <mergeCell ref="P42:P46"/>
    <mergeCell ref="Q42:Q46"/>
    <mergeCell ref="R42:R46"/>
    <mergeCell ref="S42:S46"/>
    <mergeCell ref="O39:O41"/>
    <mergeCell ref="P39:P41"/>
    <mergeCell ref="Q39:Q41"/>
    <mergeCell ref="R39:R41"/>
    <mergeCell ref="S39:S41"/>
    <mergeCell ref="D51:D54"/>
    <mergeCell ref="F51:F54"/>
    <mergeCell ref="J51:J54"/>
    <mergeCell ref="K51:K54"/>
    <mergeCell ref="L51:L54"/>
    <mergeCell ref="D48:D50"/>
    <mergeCell ref="F48:F50"/>
    <mergeCell ref="J48:J50"/>
    <mergeCell ref="K48:K50"/>
    <mergeCell ref="L48:L50"/>
    <mergeCell ref="M51:M54"/>
    <mergeCell ref="O51:O54"/>
    <mergeCell ref="P51:P54"/>
    <mergeCell ref="Q51:Q54"/>
    <mergeCell ref="R51:R54"/>
    <mergeCell ref="S51:S54"/>
    <mergeCell ref="O48:O50"/>
    <mergeCell ref="P48:P50"/>
    <mergeCell ref="Q48:Q50"/>
    <mergeCell ref="R48:R50"/>
    <mergeCell ref="S48:S50"/>
    <mergeCell ref="M48:M50"/>
    <mergeCell ref="O55:O56"/>
    <mergeCell ref="P55:P56"/>
    <mergeCell ref="Q55:Q56"/>
    <mergeCell ref="R55:R56"/>
    <mergeCell ref="S55:S56"/>
    <mergeCell ref="D55:D56"/>
    <mergeCell ref="F55:F56"/>
    <mergeCell ref="J55:J56"/>
    <mergeCell ref="K55:K56"/>
    <mergeCell ref="L55:L56"/>
    <mergeCell ref="M55:M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Debtors List</vt:lpstr>
      <vt:lpstr>Sale Combined</vt:lpstr>
      <vt:lpstr>Lot 1 weight list</vt:lpstr>
      <vt:lpstr>Sheet10</vt:lpstr>
      <vt:lpstr>Lot 1 sale Seperate</vt:lpstr>
      <vt:lpstr>Sheet5</vt:lpstr>
      <vt:lpstr>HKB</vt:lpstr>
      <vt:lpstr>Sojat Weight list</vt:lpstr>
      <vt:lpstr>option1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 Baugwala</dc:creator>
  <cp:lastModifiedBy>Aamir Baugwala</cp:lastModifiedBy>
  <cp:lastPrinted>2026-05-11T10:25:19Z</cp:lastPrinted>
  <dcterms:created xsi:type="dcterms:W3CDTF">2026-04-19T07:43:19Z</dcterms:created>
  <dcterms:modified xsi:type="dcterms:W3CDTF">2026-05-16T13:18:14Z</dcterms:modified>
</cp:coreProperties>
</file>